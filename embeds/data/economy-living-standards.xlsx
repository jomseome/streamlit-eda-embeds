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9EA3755F-DD50-44E5-8B0D-BA118B207DA9}" xr6:coauthVersionLast="47" xr6:coauthVersionMax="47" xr10:uidLastSave="{00000000-0000-0000-0000-000000000000}"/>
  <bookViews>
    <workbookView xWindow="-110" yWindow="-110" windowWidth="19420" windowHeight="10300" tabRatio="812" xr2:uid="{00000000-000D-0000-FFFF-FFFF00000000}"/>
  </bookViews>
  <sheets>
    <sheet name="그림 5-1" sheetId="15" r:id="rId1"/>
    <sheet name="그림 5-2" sheetId="14" r:id="rId2"/>
    <sheet name="그림 5-3" sheetId="13" r:id="rId3"/>
    <sheet name="그림 5-4" sheetId="27" r:id="rId4"/>
    <sheet name="그림 5-5" sheetId="11" r:id="rId5"/>
    <sheet name="그림 5-6" sheetId="10" r:id="rId6"/>
    <sheet name="그림 5-7" sheetId="9" r:id="rId7"/>
    <sheet name="그림 5-8" sheetId="8" r:id="rId8"/>
    <sheet name="표 5-1" sheetId="3" r:id="rId9"/>
    <sheet name="표 5-2" sheetId="16" r:id="rId10"/>
    <sheet name="그림 5-9" sheetId="7" r:id="rId11"/>
    <sheet name="그림 5-10" sheetId="19" r:id="rId12"/>
    <sheet name="그림 5-11" sheetId="45" r:id="rId13"/>
    <sheet name="그림 5-12" sheetId="4" r:id="rId14"/>
    <sheet name="그림 5-13" sheetId="2" r:id="rId15"/>
    <sheet name="그림 5-14" sheetId="20" r:id="rId16"/>
    <sheet name="그림 5-15" sheetId="21" r:id="rId17"/>
  </sheets>
  <definedNames>
    <definedName name="_xlnm._FilterDatabase" localSheetId="2" hidden="1">'그림 5-3'!$A$4:$B$39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6" i="2" l="1"/>
  <c r="C76" i="2" s="1"/>
  <c r="I56" i="2"/>
  <c r="D76" i="2" s="1"/>
  <c r="J56" i="2"/>
  <c r="E76" i="2" s="1"/>
  <c r="K56" i="2"/>
  <c r="F76" i="2" s="1"/>
  <c r="G56" i="2"/>
  <c r="B76" i="2" s="1"/>
  <c r="F56" i="2"/>
  <c r="G55" i="2"/>
  <c r="B75" i="2" s="1"/>
  <c r="H55" i="2"/>
  <c r="C75" i="2" s="1"/>
  <c r="I55" i="2"/>
  <c r="D75" i="2" s="1"/>
  <c r="J55" i="2"/>
  <c r="E75" i="2" s="1"/>
  <c r="K55" i="2"/>
  <c r="F75" i="2" s="1"/>
  <c r="F55" i="2"/>
  <c r="B87" i="13" l="1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</calcChain>
</file>

<file path=xl/sharedStrings.xml><?xml version="1.0" encoding="utf-8"?>
<sst xmlns="http://schemas.openxmlformats.org/spreadsheetml/2006/main" count="377" uniqueCount="176">
  <si>
    <t>2024</t>
  </si>
  <si>
    <t>시장소득</t>
  </si>
  <si>
    <t>1분위</t>
  </si>
  <si>
    <t>2분위</t>
  </si>
  <si>
    <t>3분위</t>
  </si>
  <si>
    <t>4분위</t>
  </si>
  <si>
    <t>5분위</t>
  </si>
  <si>
    <t>처분가능소득</t>
  </si>
  <si>
    <t>국가</t>
  </si>
  <si>
    <t>5분위배율 (2022 년)</t>
  </si>
  <si>
    <t>코스타리카</t>
  </si>
  <si>
    <t>칠레</t>
  </si>
  <si>
    <t>미국</t>
  </si>
  <si>
    <t>튀르키예</t>
  </si>
  <si>
    <t>멕시코</t>
  </si>
  <si>
    <t>리투아니아</t>
  </si>
  <si>
    <t>일본</t>
  </si>
  <si>
    <t>영국</t>
  </si>
  <si>
    <t>이스라엘</t>
  </si>
  <si>
    <t>라트비아</t>
  </si>
  <si>
    <t>한국</t>
  </si>
  <si>
    <t>에스토니아</t>
  </si>
  <si>
    <t>뉴질랜드</t>
  </si>
  <si>
    <t>스페인</t>
  </si>
  <si>
    <t>포르투갈</t>
  </si>
  <si>
    <t>이탈리아</t>
  </si>
  <si>
    <t>그리스</t>
  </si>
  <si>
    <t>독일</t>
  </si>
  <si>
    <t>스위스</t>
  </si>
  <si>
    <t>캐나다</t>
  </si>
  <si>
    <t>헝가리</t>
  </si>
  <si>
    <t>룩셈부르크</t>
  </si>
  <si>
    <t>프랑스</t>
  </si>
  <si>
    <t>오스트리아</t>
  </si>
  <si>
    <t>네덜란드</t>
  </si>
  <si>
    <t>스웨덴</t>
  </si>
  <si>
    <t>아일랜드</t>
  </si>
  <si>
    <t>폴란드</t>
  </si>
  <si>
    <t>노르웨이</t>
  </si>
  <si>
    <t>덴마크</t>
  </si>
  <si>
    <t>핀란드</t>
  </si>
  <si>
    <t>벨기에</t>
  </si>
  <si>
    <t>슬로베니아</t>
  </si>
  <si>
    <t>체코</t>
  </si>
  <si>
    <t>슬로바키아</t>
  </si>
  <si>
    <t>29세 이하</t>
  </si>
  <si>
    <t>30대</t>
  </si>
  <si>
    <t>40대</t>
  </si>
  <si>
    <t>50대</t>
  </si>
  <si>
    <t>60세 이상</t>
  </si>
  <si>
    <t>근로소득</t>
  </si>
  <si>
    <t>사업소득</t>
  </si>
  <si>
    <t>재산소득</t>
  </si>
  <si>
    <t>공적이전소득</t>
  </si>
  <si>
    <t>사적이전소득</t>
  </si>
  <si>
    <t>전체</t>
  </si>
  <si>
    <t>소득분위별</t>
  </si>
  <si>
    <t>합계</t>
  </si>
  <si>
    <t>비소비지출액(만 원)</t>
  </si>
  <si>
    <t>경상소득 대비 비소비지출 비율(%)</t>
  </si>
  <si>
    <t>세금</t>
  </si>
  <si>
    <t>자산</t>
  </si>
  <si>
    <t>부채</t>
  </si>
  <si>
    <t>소득 1분위</t>
  </si>
  <si>
    <t>소득 2분위</t>
  </si>
  <si>
    <t>소득 3분위</t>
  </si>
  <si>
    <t>소득 4분위</t>
  </si>
  <si>
    <t>소득 5분위</t>
  </si>
  <si>
    <t>월소득 5분위별</t>
  </si>
  <si>
    <t>가계수지항목별</t>
  </si>
  <si>
    <t>전체가구</t>
  </si>
  <si>
    <t>전체 평균</t>
  </si>
  <si>
    <t>소비지출</t>
  </si>
  <si>
    <t>소비지출액(만 원)</t>
  </si>
  <si>
    <t>소비지출비(%)</t>
  </si>
  <si>
    <t>소비지출비</t>
    <phoneticPr fontId="2" type="noConversion"/>
  </si>
  <si>
    <t>https://kosis.kr/statHtml/statHtml.do?orgId=101&amp;tblId=DT_1L9U103&amp;conn_path=I2</t>
  </si>
  <si>
    <t>보건</t>
  </si>
  <si>
    <t>정보통신</t>
  </si>
  <si>
    <t>교육</t>
  </si>
  <si>
    <t>관리직</t>
  </si>
  <si>
    <t>전문직</t>
  </si>
  <si>
    <t>사무직</t>
  </si>
  <si>
    <t>농림어업</t>
  </si>
  <si>
    <t>단순노무직</t>
  </si>
  <si>
    <t>상용 근로자</t>
  </si>
  <si>
    <t>고용원이 없는 자영업자</t>
  </si>
  <si>
    <t>기타 종사자</t>
  </si>
  <si>
    <t>초졸 이하</t>
  </si>
  <si>
    <t>중졸</t>
  </si>
  <si>
    <t>고졸</t>
  </si>
  <si>
    <t>대졸</t>
  </si>
  <si>
    <t>대학원졸</t>
  </si>
  <si>
    <t>age_group2</t>
  </si>
  <si>
    <t>20대 이하</t>
  </si>
  <si>
    <t>60-64세</t>
  </si>
  <si>
    <t>65세 이상</t>
  </si>
  <si>
    <t>&lt;60세 이상&gt;</t>
  </si>
  <si>
    <t>서비스·판매직</t>
    <phoneticPr fontId="2" type="noConversion"/>
  </si>
  <si>
    <t>기능·조작·조립직</t>
    <phoneticPr fontId="2" type="noConversion"/>
  </si>
  <si>
    <t>임시·일용 근로자</t>
    <phoneticPr fontId="2" type="noConversion"/>
  </si>
  <si>
    <t>재산소득</t>
    <phoneticPr fontId="2" type="noConversion"/>
  </si>
  <si>
    <t>전체</t>
    <phoneticPr fontId="2" type="noConversion"/>
  </si>
  <si>
    <t>1분위</t>
    <phoneticPr fontId="2" type="noConversion"/>
  </si>
  <si>
    <t>근로소득</t>
    <phoneticPr fontId="2" type="noConversion"/>
  </si>
  <si>
    <t>2분위</t>
    <phoneticPr fontId="2" type="noConversion"/>
  </si>
  <si>
    <t>식료품·비주류음료</t>
    <phoneticPr fontId="2" type="noConversion"/>
  </si>
  <si>
    <t>주류·담배</t>
    <phoneticPr fontId="2" type="noConversion"/>
  </si>
  <si>
    <t>의류·신발</t>
    <phoneticPr fontId="2" type="noConversion"/>
  </si>
  <si>
    <t>주거·수도·광열</t>
    <phoneticPr fontId="2" type="noConversion"/>
  </si>
  <si>
    <t>가정용품·가사서비스</t>
    <phoneticPr fontId="2" type="noConversion"/>
  </si>
  <si>
    <t>교통·운송</t>
    <phoneticPr fontId="2" type="noConversion"/>
  </si>
  <si>
    <t>오락·문화</t>
    <phoneticPr fontId="2" type="noConversion"/>
  </si>
  <si>
    <t>음식·숙박</t>
    <phoneticPr fontId="2" type="noConversion"/>
  </si>
  <si>
    <t>기타 상품·서비스</t>
    <phoneticPr fontId="2" type="noConversion"/>
  </si>
  <si>
    <t>30-39세</t>
    <phoneticPr fontId="2" type="noConversion"/>
  </si>
  <si>
    <t>40-49세</t>
    <phoneticPr fontId="2" type="noConversion"/>
  </si>
  <si>
    <t>50-59세</t>
    <phoneticPr fontId="2" type="noConversion"/>
  </si>
  <si>
    <t>39세 이하</t>
    <phoneticPr fontId="2" type="noConversion"/>
  </si>
  <si>
    <t>60세 이상</t>
    <phoneticPr fontId="2" type="noConversion"/>
  </si>
  <si>
    <t>주: 1) 소득분위별 소득비 = (소득분위별 평균 소득 ÷ 전체 가구 평균 소득) × 100.</t>
    <phoneticPr fontId="2" type="noConversion"/>
  </si>
  <si>
    <t>출처: 국가데이터처·한국은행·금융감독원, ｢가계금융복지조사｣.</t>
    <phoneticPr fontId="2" type="noConversion"/>
  </si>
  <si>
    <t xml:space="preserve">    2) 가구 균등화 소득임.</t>
    <phoneticPr fontId="2" type="noConversion"/>
  </si>
  <si>
    <t>그림 5-1. 소득분위별 소득비, 2024</t>
    <phoneticPr fontId="2" type="noConversion"/>
  </si>
  <si>
    <t>(%)</t>
    <phoneticPr fontId="2" type="noConversion"/>
  </si>
  <si>
    <t>(배)</t>
    <phoneticPr fontId="2" type="noConversion"/>
  </si>
  <si>
    <t>주: 1) 소득 5분위 배율 = 소득 상위 20%(5분위) 집단 평균 소득 ÷ 소득 하위 20%(1분위) 집단 평균 소득.</t>
    <phoneticPr fontId="2" type="noConversion"/>
  </si>
  <si>
    <t>그림 5-2. 소득 5분위 배율, 2011-2024</t>
    <phoneticPr fontId="2" type="noConversion"/>
  </si>
  <si>
    <r>
      <t xml:space="preserve">출처: 국가데이터처·한국은행·금융감독원,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가계금융복지조사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</si>
  <si>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연도</t>
    <phoneticPr fontId="2" type="noConversion"/>
  </si>
  <si>
    <t>소득 5분위 배율</t>
    <phoneticPr fontId="2" type="noConversion"/>
  </si>
  <si>
    <t>출처: OECD, Income Distribution Database.</t>
    <phoneticPr fontId="2" type="noConversion"/>
  </si>
  <si>
    <t xml:space="preserve">    2) 가구 균등화 처분가능소득 기준임.</t>
    <phoneticPr fontId="2" type="noConversion"/>
  </si>
  <si>
    <t xml:space="preserve">    3) 일본은 2021년 자료임.</t>
    <phoneticPr fontId="2" type="noConversion"/>
  </si>
  <si>
    <t>그림 5-3. OECD 국가의 소득 5분위 배율, 2022</t>
    <phoneticPr fontId="2" type="noConversion"/>
  </si>
  <si>
    <t>그림 5-4. 가구주 연령별 소득 5분위 배율, 2024</t>
    <phoneticPr fontId="2" type="noConversion"/>
  </si>
  <si>
    <r>
      <t xml:space="preserve">출처: 국가데이터처·한국은행·금융감독원, </t>
    </r>
    <r>
      <rPr>
        <sz val="10"/>
        <rFont val="맑은 고딕"/>
        <family val="2"/>
        <scheme val="minor"/>
      </rPr>
      <t>｢</t>
    </r>
    <r>
      <rPr>
        <sz val="10"/>
        <rFont val="맑은 고딕"/>
        <family val="3"/>
        <charset val="129"/>
        <scheme val="minor"/>
      </rPr>
      <t>가계금융복지조사</t>
    </r>
    <r>
      <rPr>
        <sz val="10"/>
        <rFont val="맑은 고딕"/>
        <family val="2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</si>
  <si>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연령별</t>
    <phoneticPr fontId="2" type="noConversion"/>
  </si>
  <si>
    <t>소득분위별</t>
    <phoneticPr fontId="2" type="noConversion"/>
  </si>
  <si>
    <t>주: 1) 교육수준별 소득비 = (교육수준별 평균 소득 ÷ 전체 가구 평균 소득) × 100.</t>
    <phoneticPr fontId="2" type="noConversion"/>
  </si>
  <si>
    <t xml:space="preserve">    2) 가구 균등화 시장소득 기준임.</t>
    <phoneticPr fontId="2" type="noConversion"/>
  </si>
  <si>
    <t xml:space="preserve">    3) 조사 당시 최종 학력 기준이며, 대학원 졸업자에는 석사 과정 졸업자와 박사 과정 졸업자가 포함됨.</t>
    <phoneticPr fontId="2" type="noConversion"/>
  </si>
  <si>
    <t>그림 5-5. 가구주 교육수준별 소득비, 2016, 2020, 2024</t>
    <phoneticPr fontId="2" type="noConversion"/>
  </si>
  <si>
    <t>주: 1) 직업별 소득비 = (직업별 평균 소득 ÷ 전체 가구 평균 소득) × 100.</t>
    <phoneticPr fontId="2" type="noConversion"/>
  </si>
  <si>
    <t xml:space="preserve">    3) 무직은 제외함.</t>
    <phoneticPr fontId="2" type="noConversion"/>
  </si>
  <si>
    <t>그림 5-6. 가구주 직업별 소득비, 2016, 2020, 2024</t>
    <phoneticPr fontId="2" type="noConversion"/>
  </si>
  <si>
    <t>주: 1) 종사상지위별 소득비 = (종사상지위별 평균 소득 ÷ 전체 가구 평균 소득) × 100.</t>
    <phoneticPr fontId="2" type="noConversion"/>
  </si>
  <si>
    <t xml:space="preserve">    3) 기타 종사자에는 실적급의 보험설계사, 대리운전 기사, 학습지 방문교사 등이 포함됨.</t>
    <phoneticPr fontId="2" type="noConversion"/>
  </si>
  <si>
    <t>그림 5-7. 가구주 종사상지위별 소득비, 2016, 2020, 2024</t>
    <phoneticPr fontId="2" type="noConversion"/>
  </si>
  <si>
    <t>고용원이 있는 자영업자</t>
    <phoneticPr fontId="2" type="noConversion"/>
  </si>
  <si>
    <t>그림 5-8. 소득분위별 경상소득 구성 비율, 2024</t>
    <phoneticPr fontId="2" type="noConversion"/>
  </si>
  <si>
    <t>주: 1) 경상소득 중 원천별 소득의 비율임.</t>
    <phoneticPr fontId="2" type="noConversion"/>
  </si>
  <si>
    <t>(만 원)</t>
    <phoneticPr fontId="2" type="noConversion"/>
  </si>
  <si>
    <t>주: 1) 경상소득 중 원천별 소득의 평균 금액임.</t>
    <phoneticPr fontId="2" type="noConversion"/>
  </si>
  <si>
    <t>표 5-1. 소득분위별 경상소득 금액, 2024</t>
    <phoneticPr fontId="2" type="noConversion"/>
  </si>
  <si>
    <t>표 5-2. 소득분위별 비소비지출 금액과 경상소득 대비 비소비지출 비율, 2024</t>
    <phoneticPr fontId="2" type="noConversion"/>
  </si>
  <si>
    <t>소득
분위</t>
    <phoneticPr fontId="2" type="noConversion"/>
  </si>
  <si>
    <t>공적
연금 및 사회
보험료</t>
    <phoneticPr fontId="2" type="noConversion"/>
  </si>
  <si>
    <t>가구 간 이전
지출</t>
    <phoneticPr fontId="2" type="noConversion"/>
  </si>
  <si>
    <t>비영리
단체
이전
지출</t>
    <phoneticPr fontId="2" type="noConversion"/>
  </si>
  <si>
    <t>이자
비용</t>
    <phoneticPr fontId="2" type="noConversion"/>
  </si>
  <si>
    <t>그림 5-9. 소득분위별 경상소득 대비 근로소득 비율, 2016-2024</t>
    <phoneticPr fontId="2" type="noConversion"/>
  </si>
  <si>
    <t>그림 5-10. 소득분위별 경상소득 대비 공적이전소득 비율, 2016-2024</t>
    <phoneticPr fontId="2" type="noConversion"/>
  </si>
  <si>
    <t>그림 5-11. 가구주 연령별 소득원천 구성 비율, 2024</t>
    <phoneticPr fontId="2" type="noConversion"/>
  </si>
  <si>
    <t>주: 1) 소득분위별 자산비 = (소득분위별 평균 자산 ÷ 전체 가구 평균 자산) × 100.</t>
    <phoneticPr fontId="2" type="noConversion"/>
  </si>
  <si>
    <t xml:space="preserve">    2) 소득분위별 부채비 = (소득분위별 평균 부채 ÷ 전체 가구 평균 부채) × 100.</t>
    <phoneticPr fontId="2" type="noConversion"/>
  </si>
  <si>
    <t xml:space="preserve">    3) 2025년 3월 말 기준임.</t>
    <phoneticPr fontId="2" type="noConversion"/>
  </si>
  <si>
    <t>그림 5-12. 소득분위별 자산비와 부채비, 2025</t>
    <phoneticPr fontId="2" type="noConversion"/>
  </si>
  <si>
    <t>주: 1) 소득분위별 소비지출비 = (소득분위별 평균 소비지출 ÷ 전체 가구 평균 소비지출) × 100.</t>
    <phoneticPr fontId="2" type="noConversion"/>
  </si>
  <si>
    <t>출처: 국가데이터처, ｢가계동향조사｣.</t>
    <phoneticPr fontId="2" type="noConversion"/>
  </si>
  <si>
    <t>그림 5-13. 소득분위별 월평균 소비지출액과 소비지출비, 2024</t>
    <phoneticPr fontId="2" type="noConversion"/>
  </si>
  <si>
    <t>주: 1) 전체 소비지출 중 항목별 소비지출의 비율임.</t>
    <phoneticPr fontId="2" type="noConversion"/>
  </si>
  <si>
    <t>그림 5-14. 소득분위별 소비지출 구성 비율, 2024</t>
    <phoneticPr fontId="2" type="noConversion"/>
  </si>
  <si>
    <r>
      <t xml:space="preserve">출처: 국가데이터처, </t>
    </r>
    <r>
      <rPr>
        <sz val="10"/>
        <rFont val="맑은 고딕"/>
        <family val="3"/>
        <charset val="129"/>
        <scheme val="minor"/>
      </rPr>
      <t>｢가계동향조사｣.</t>
    </r>
    <phoneticPr fontId="2" type="noConversion"/>
  </si>
  <si>
    <r>
      <t xml:space="preserve">    2) 소득분위는 </t>
    </r>
    <r>
      <rPr>
        <sz val="10"/>
        <rFont val="MS Gothic"/>
        <family val="3"/>
        <charset val="128"/>
      </rPr>
      <t>｢</t>
    </r>
    <r>
      <rPr>
        <sz val="10"/>
        <rFont val="맑은 고딕"/>
        <family val="3"/>
        <charset val="129"/>
        <scheme val="minor"/>
      </rPr>
      <t>가계동향조사</t>
    </r>
    <r>
      <rPr>
        <sz val="10"/>
        <rFont val="MS Gothic"/>
        <family val="3"/>
        <charset val="128"/>
      </rPr>
      <t>｣</t>
    </r>
    <r>
      <rPr>
        <sz val="10"/>
        <rFont val="맑은 고딕"/>
        <family val="3"/>
        <charset val="129"/>
        <scheme val="minor"/>
      </rPr>
      <t xml:space="preserve"> 자료로 구분함.</t>
    </r>
    <phoneticPr fontId="2" type="noConversion"/>
  </si>
  <si>
    <t>그림 5-15. 가구주 연령별 소비지출 구성 비율, 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</si>
</sst>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76" formatCode="&quot;On&quot;;&quot;On&quot;;&quot;Off&quot;"/>
    <numFmt numFmtId="177" formatCode="0.0"/>
    <numFmt numFmtId="178" formatCode="#,##0.0,_)"/>
    <numFmt numFmtId="179" formatCode="#\ ###\ ##0"/>
    <numFmt numFmtId="180" formatCode="General_)"/>
    <numFmt numFmtId="181" formatCode="_-* #,##0.00\ _F_-;\-* #,##0.00\ _F_-;_-* &quot;-&quot;??\ _F_-;_-@_-"/>
    <numFmt numFmtId="182" formatCode="&quot;kr&quot;\ #,##0;[Red]&quot;kr&quot;\ \-#,##0"/>
    <numFmt numFmtId="183" formatCode="_(* #,##0.000_);_(* \(#,##0.000\);_(* &quot;-&quot;??_);_(@_)"/>
    <numFmt numFmtId="184" formatCode="#,##0."/>
    <numFmt numFmtId="185" formatCode="&quot;$&quot;#."/>
    <numFmt numFmtId="186" formatCode="_-* #,##0.00\ [$€]_-;\-* #,##0.00\ [$€]_-;_-* &quot;-&quot;??\ [$€]_-;_-@_-"/>
    <numFmt numFmtId="187" formatCode="#.00"/>
    <numFmt numFmtId="188" formatCode="_-* #,##0\ _F_B_-;\-* #,##0\ _F_B_-;_-* &quot;-&quot;\ _F_B_-;_-@_-"/>
    <numFmt numFmtId="189" formatCode="_-* #,##0.00\ _F_B_-;\-* #,##0.00\ _F_B_-;_-* &quot;-&quot;??\ _F_B_-;_-@_-"/>
    <numFmt numFmtId="190" formatCode="_-* #,##0\ &quot;FB&quot;_-;\-* #,##0\ &quot;FB&quot;_-;_-* &quot;-&quot;\ &quot;FB&quot;_-;_-@_-"/>
    <numFmt numFmtId="191" formatCode="_-* #,##0.00\ &quot;FB&quot;_-;\-* #,##0.00\ &quot;FB&quot;_-;_-* &quot;-&quot;??\ &quot;FB&quot;_-;_-@_-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#,##0.0"/>
    <numFmt numFmtId="195" formatCode="#,##0.0_ "/>
  </numFmts>
  <fonts count="52">
    <font>
      <sz val="11"/>
      <color theme="1"/>
      <name val="돋움체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돋움체"/>
      <family val="2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 CE"/>
      <family val="2"/>
      <charset val="238"/>
    </font>
    <font>
      <sz val="10"/>
      <name val="Times New Roman"/>
      <family val="1"/>
    </font>
    <font>
      <sz val="11"/>
      <name val="ＭＳ Ｐゴシック"/>
      <family val="2"/>
      <charset val="128"/>
    </font>
    <font>
      <sz val="11"/>
      <name val="Times New Roman"/>
      <family val="1"/>
    </font>
    <font>
      <u/>
      <sz val="10"/>
      <color indexed="12"/>
      <name val="Arial"/>
      <family val="2"/>
    </font>
    <font>
      <sz val="8"/>
      <name val="MS Sans Serif"/>
      <family val="2"/>
    </font>
    <font>
      <sz val="12"/>
      <name val="Courier"/>
      <family val="3"/>
    </font>
    <font>
      <u/>
      <sz val="6"/>
      <color indexed="12"/>
      <name val="MS Sans Serif"/>
      <family val="2"/>
    </font>
    <font>
      <sz val="10"/>
      <name val="Plantin"/>
      <family val="2"/>
    </font>
    <font>
      <sz val="10"/>
      <name val="MS Sans Serif"/>
      <family val="2"/>
    </font>
    <font>
      <sz val="7"/>
      <name val="Helv"/>
      <family val="2"/>
    </font>
    <font>
      <sz val="10"/>
      <name val="Helvetica"/>
      <family val="2"/>
    </font>
    <font>
      <sz val="1"/>
      <color indexed="8"/>
      <name val="Courier"/>
      <family val="3"/>
    </font>
    <font>
      <u/>
      <sz val="8"/>
      <color indexed="12"/>
      <name val="MS Sans Serif"/>
      <family val="2"/>
    </font>
    <font>
      <sz val="10"/>
      <name val="Courier"/>
      <family val="3"/>
    </font>
    <font>
      <b/>
      <sz val="10"/>
      <color indexed="8"/>
      <name val="Times New Roman"/>
      <family val="1"/>
    </font>
    <font>
      <u/>
      <sz val="10"/>
      <color indexed="36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MS Sans Serif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맑은 고딕"/>
      <family val="2"/>
      <scheme val="major"/>
    </font>
    <font>
      <sz val="10"/>
      <color rgb="FFFF0000"/>
      <name val="Arial"/>
      <family val="2"/>
    </font>
    <font>
      <sz val="11"/>
      <color theme="1"/>
      <name val="돋움체"/>
      <family val="2"/>
      <charset val="129"/>
    </font>
    <font>
      <sz val="12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2"/>
      <scheme val="minor"/>
    </font>
    <font>
      <sz val="10"/>
      <name val="맑은 고딕"/>
      <family val="3"/>
      <scheme val="minor"/>
    </font>
    <font>
      <sz val="10"/>
      <name val="MS Gothic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77" fontId="19" fillId="0" borderId="0" applyBorder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1" fontId="19" fillId="0" borderId="0" applyBorder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182" fontId="20" fillId="0" borderId="0" applyFont="0" applyFill="0" applyBorder="0" applyAlignment="0" applyProtection="0"/>
    <xf numFmtId="1" fontId="21" fillId="0" borderId="0">
      <alignment horizontal="right"/>
      <protection locked="0"/>
    </xf>
    <xf numFmtId="178" fontId="10" fillId="0" borderId="0" applyFill="0" applyBorder="0" applyProtection="0"/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43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4" fontId="23" fillId="0" borderId="0">
      <protection locked="0"/>
    </xf>
    <xf numFmtId="185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21" fillId="0" borderId="0" applyFill="0" applyBorder="0" applyAlignment="0" applyProtection="0"/>
    <xf numFmtId="186" fontId="5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87" fontId="23" fillId="0" borderId="0">
      <protection locked="0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14" fillId="0" borderId="0"/>
    <xf numFmtId="186" fontId="14" fillId="0" borderId="0"/>
    <xf numFmtId="0" fontId="23" fillId="0" borderId="0">
      <protection locked="0"/>
    </xf>
    <xf numFmtId="186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186" fontId="23" fillId="0" borderId="0">
      <protection locked="0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23" fillId="0" borderId="0">
      <protection locked="0"/>
    </xf>
    <xf numFmtId="186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186" fontId="23" fillId="0" borderId="0">
      <protection locked="0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>
      <protection locked="0"/>
    </xf>
    <xf numFmtId="186" fontId="21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86" fontId="3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86" fontId="15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6" fontId="38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186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86" fontId="15" fillId="0" borderId="0" applyNumberFormat="0" applyFill="0" applyBorder="0" applyAlignment="0" applyProtection="0">
      <alignment vertical="top"/>
      <protection locked="0"/>
    </xf>
    <xf numFmtId="0" fontId="39" fillId="5" borderId="4" applyNumberFormat="0" applyAlignment="0" applyProtection="0">
      <alignment vertical="center"/>
    </xf>
    <xf numFmtId="0" fontId="39" fillId="5" borderId="4" applyNumberFormat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25" fillId="0" borderId="0"/>
    <xf numFmtId="186" fontId="25" fillId="0" borderId="0"/>
    <xf numFmtId="180" fontId="17" fillId="0" borderId="0"/>
    <xf numFmtId="180" fontId="17" fillId="0" borderId="0"/>
    <xf numFmtId="0" fontId="5" fillId="0" borderId="0"/>
    <xf numFmtId="0" fontId="7" fillId="0" borderId="0"/>
    <xf numFmtId="186" fontId="7" fillId="0" borderId="0"/>
    <xf numFmtId="0" fontId="8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0" fontId="16" fillId="0" borderId="0"/>
    <xf numFmtId="186" fontId="16" fillId="0" borderId="0"/>
    <xf numFmtId="186" fontId="16" fillId="0" borderId="0"/>
    <xf numFmtId="0" fontId="16" fillId="0" borderId="0"/>
    <xf numFmtId="0" fontId="16" fillId="0" borderId="0"/>
    <xf numFmtId="0" fontId="5" fillId="0" borderId="0"/>
    <xf numFmtId="180" fontId="17" fillId="0" borderId="0"/>
    <xf numFmtId="180" fontId="17" fillId="0" borderId="0"/>
    <xf numFmtId="0" fontId="5" fillId="0" borderId="0"/>
    <xf numFmtId="180" fontId="17" fillId="0" borderId="0"/>
    <xf numFmtId="180" fontId="17" fillId="0" borderId="0"/>
    <xf numFmtId="0" fontId="5" fillId="0" borderId="0"/>
    <xf numFmtId="180" fontId="17" fillId="0" borderId="0"/>
    <xf numFmtId="180" fontId="17" fillId="0" borderId="0"/>
    <xf numFmtId="0" fontId="16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0" fontId="5" fillId="0" borderId="0"/>
    <xf numFmtId="0" fontId="5" fillId="0" borderId="0"/>
    <xf numFmtId="0" fontId="5" fillId="0" borderId="0"/>
    <xf numFmtId="186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86" fontId="19" fillId="0" borderId="0"/>
    <xf numFmtId="0" fontId="9" fillId="0" borderId="0"/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42" fillId="6" borderId="5" applyNumberFormat="0" applyAlignment="0" applyProtection="0">
      <alignment vertical="center"/>
    </xf>
    <xf numFmtId="9" fontId="5" fillId="0" borderId="0" applyFont="0" applyFill="0" applyBorder="0" applyAlignment="0" applyProtection="0"/>
    <xf numFmtId="18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186" fontId="27" fillId="0" borderId="0" applyNumberFormat="0" applyFill="0" applyBorder="0" applyAlignment="0" applyProtection="0">
      <alignment vertical="top"/>
      <protection locked="0"/>
    </xf>
    <xf numFmtId="2" fontId="12" fillId="0" borderId="0" applyBorder="0">
      <alignment horizontal="right"/>
    </xf>
    <xf numFmtId="2" fontId="12" fillId="0" borderId="0" applyNumberFormat="0" applyBorder="0" applyAlignment="0"/>
    <xf numFmtId="176" fontId="12" fillId="0" borderId="0" applyNumberFormat="0" applyBorder="0" applyAlignment="0"/>
    <xf numFmtId="0" fontId="5" fillId="0" borderId="0"/>
    <xf numFmtId="179" fontId="21" fillId="0" borderId="0">
      <alignment horizontal="right"/>
      <protection locked="0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10">
      <protection locked="0"/>
    </xf>
    <xf numFmtId="186" fontId="23" fillId="0" borderId="10">
      <protection locked="0"/>
    </xf>
    <xf numFmtId="0" fontId="23" fillId="0" borderId="10">
      <protection locked="0"/>
    </xf>
    <xf numFmtId="186" fontId="23" fillId="0" borderId="10">
      <protection locked="0"/>
    </xf>
    <xf numFmtId="186" fontId="23" fillId="0" borderId="10">
      <protection locked="0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188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46" fillId="0" borderId="0"/>
    <xf numFmtId="0" fontId="3" fillId="0" borderId="0"/>
    <xf numFmtId="9" fontId="3" fillId="0" borderId="0" applyFont="0" applyFill="0" applyBorder="0" applyAlignment="0" applyProtection="0"/>
  </cellStyleXfs>
  <cellXfs count="49">
    <xf numFmtId="0" fontId="0" fillId="0" borderId="0" xfId="0">
      <alignment vertical="center"/>
    </xf>
    <xf numFmtId="0" fontId="47" fillId="0" borderId="0" xfId="0" applyFont="1" applyFill="1" applyBorder="1" applyAlignment="1">
      <alignment horizontal="right" vertical="center"/>
    </xf>
    <xf numFmtId="0" fontId="47" fillId="0" borderId="0" xfId="0" applyFont="1" applyFill="1" applyBorder="1" applyAlignment="1">
      <alignment horizontal="center" vertical="center"/>
    </xf>
    <xf numFmtId="177" fontId="47" fillId="0" borderId="0" xfId="0" applyNumberFormat="1" applyFont="1" applyFill="1" applyBorder="1" applyAlignment="1">
      <alignment horizontal="right" vertical="center"/>
    </xf>
    <xf numFmtId="0" fontId="47" fillId="0" borderId="0" xfId="0" applyFont="1" applyFill="1" applyBorder="1" applyAlignment="1">
      <alignment vertical="center"/>
    </xf>
    <xf numFmtId="177" fontId="47" fillId="0" borderId="0" xfId="0" applyNumberFormat="1" applyFont="1" applyFill="1" applyBorder="1" applyAlignment="1">
      <alignment vertical="center"/>
    </xf>
    <xf numFmtId="177" fontId="47" fillId="0" borderId="0" xfId="0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center" wrapText="1" readingOrder="1"/>
    </xf>
    <xf numFmtId="4" fontId="47" fillId="0" borderId="0" xfId="0" applyNumberFormat="1" applyFont="1" applyFill="1" applyBorder="1" applyAlignment="1">
      <alignment horizontal="right" vertical="center" wrapText="1" readingOrder="1"/>
    </xf>
    <xf numFmtId="0" fontId="47" fillId="0" borderId="0" xfId="0" applyFont="1" applyFill="1" applyBorder="1" applyAlignment="1">
      <alignment vertical="center" wrapText="1"/>
    </xf>
    <xf numFmtId="0" fontId="47" fillId="0" borderId="0" xfId="0" applyFont="1" applyFill="1" applyBorder="1" applyAlignment="1">
      <alignment horizontal="left" vertical="center" readingOrder="1"/>
    </xf>
    <xf numFmtId="194" fontId="47" fillId="0" borderId="0" xfId="0" applyNumberFormat="1" applyFont="1" applyFill="1" applyBorder="1" applyAlignment="1">
      <alignment horizontal="right" vertical="center" readingOrder="1"/>
    </xf>
    <xf numFmtId="0" fontId="47" fillId="0" borderId="0" xfId="229" applyFont="1" applyFill="1" applyBorder="1"/>
    <xf numFmtId="0" fontId="47" fillId="0" borderId="0" xfId="229" applyFont="1" applyFill="1" applyBorder="1" applyAlignment="1">
      <alignment vertical="center" wrapText="1"/>
    </xf>
    <xf numFmtId="177" fontId="47" fillId="0" borderId="0" xfId="229" applyNumberFormat="1" applyFont="1" applyFill="1" applyBorder="1" applyAlignment="1">
      <alignment vertical="center" wrapText="1"/>
    </xf>
    <xf numFmtId="3" fontId="47" fillId="0" borderId="0" xfId="229" applyNumberFormat="1" applyFont="1" applyFill="1" applyBorder="1" applyAlignment="1">
      <alignment vertical="center" wrapText="1"/>
    </xf>
    <xf numFmtId="0" fontId="47" fillId="0" borderId="0" xfId="229" applyFont="1" applyFill="1" applyBorder="1" applyAlignment="1">
      <alignment horizontal="center"/>
    </xf>
    <xf numFmtId="0" fontId="47" fillId="0" borderId="0" xfId="229" applyFont="1" applyFill="1" applyBorder="1" applyAlignment="1">
      <alignment horizontal="center" vertical="center" wrapText="1"/>
    </xf>
    <xf numFmtId="0" fontId="47" fillId="0" borderId="0" xfId="229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horizontal="left" vertical="center"/>
    </xf>
    <xf numFmtId="0" fontId="47" fillId="0" borderId="0" xfId="0" applyFont="1" applyFill="1" applyBorder="1" applyAlignment="1">
      <alignment horizontal="center" vertical="center" wrapText="1"/>
    </xf>
    <xf numFmtId="177" fontId="47" fillId="0" borderId="0" xfId="0" applyNumberFormat="1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right" vertical="center" wrapText="1"/>
    </xf>
    <xf numFmtId="177" fontId="47" fillId="0" borderId="0" xfId="0" applyNumberFormat="1" applyFont="1" applyFill="1" applyBorder="1" applyAlignment="1">
      <alignment vertical="center" wrapText="1"/>
    </xf>
    <xf numFmtId="0" fontId="47" fillId="0" borderId="0" xfId="0" applyFont="1" applyFill="1" applyBorder="1" applyAlignment="1">
      <alignment horizontal="justify" vertical="center" wrapText="1"/>
    </xf>
    <xf numFmtId="0" fontId="47" fillId="0" borderId="0" xfId="0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>
      <alignment horizontal="right" vertical="center" wrapText="1"/>
    </xf>
    <xf numFmtId="3" fontId="47" fillId="0" borderId="0" xfId="0" applyNumberFormat="1" applyFont="1" applyFill="1" applyBorder="1" applyAlignment="1">
      <alignment vertical="center" wrapText="1"/>
    </xf>
    <xf numFmtId="0" fontId="47" fillId="0" borderId="0" xfId="230" applyFont="1" applyFill="1" applyBorder="1" applyAlignment="1">
      <alignment vertical="center"/>
    </xf>
    <xf numFmtId="0" fontId="47" fillId="0" borderId="0" xfId="230" applyFont="1" applyFill="1" applyBorder="1" applyAlignment="1">
      <alignment horizontal="right" vertical="center"/>
    </xf>
    <xf numFmtId="177" fontId="47" fillId="0" borderId="0" xfId="231" applyNumberFormat="1" applyFont="1" applyFill="1" applyBorder="1" applyAlignment="1">
      <alignment horizontal="right" vertical="center"/>
    </xf>
    <xf numFmtId="0" fontId="47" fillId="0" borderId="0" xfId="23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 wrapText="1"/>
    </xf>
    <xf numFmtId="0" fontId="47" fillId="0" borderId="0" xfId="0" applyFont="1" applyFill="1" applyBorder="1">
      <alignment vertical="center"/>
    </xf>
    <xf numFmtId="177" fontId="47" fillId="0" borderId="0" xfId="0" applyNumberFormat="1" applyFont="1" applyFill="1" applyBorder="1" applyAlignment="1">
      <alignment horizontal="right" vertical="center" wrapText="1"/>
    </xf>
    <xf numFmtId="0" fontId="47" fillId="0" borderId="0" xfId="0" applyFont="1" applyFill="1" applyBorder="1">
      <alignment vertical="center"/>
    </xf>
    <xf numFmtId="0" fontId="47" fillId="0" borderId="0" xfId="0" applyFont="1" applyFill="1" applyBorder="1" applyAlignment="1"/>
    <xf numFmtId="0" fontId="47" fillId="0" borderId="0" xfId="0" applyFont="1" applyFill="1" applyBorder="1" applyAlignment="1"/>
    <xf numFmtId="3" fontId="47" fillId="0" borderId="0" xfId="0" applyNumberFormat="1" applyFont="1" applyFill="1" applyBorder="1" applyAlignment="1">
      <alignment horizontal="right"/>
    </xf>
    <xf numFmtId="194" fontId="47" fillId="0" borderId="0" xfId="0" applyNumberFormat="1" applyFont="1" applyFill="1" applyBorder="1" applyAlignment="1">
      <alignment horizontal="right"/>
    </xf>
    <xf numFmtId="177" fontId="47" fillId="0" borderId="0" xfId="228" applyNumberFormat="1" applyFont="1" applyFill="1" applyBorder="1">
      <alignment vertical="center"/>
    </xf>
    <xf numFmtId="177" fontId="47" fillId="0" borderId="0" xfId="0" applyNumberFormat="1" applyFont="1" applyFill="1" applyBorder="1">
      <alignment vertical="center"/>
    </xf>
    <xf numFmtId="195" fontId="47" fillId="0" borderId="0" xfId="0" applyNumberFormat="1" applyFont="1" applyFill="1" applyBorder="1">
      <alignment vertical="center"/>
    </xf>
    <xf numFmtId="0" fontId="47" fillId="0" borderId="0" xfId="5" applyFont="1" applyFill="1" applyBorder="1" applyAlignment="1">
      <alignment horizontal="right" vertical="center"/>
    </xf>
    <xf numFmtId="0" fontId="47" fillId="0" borderId="0" xfId="5" applyFont="1" applyFill="1" applyBorder="1" applyAlignment="1">
      <alignment vertical="center"/>
    </xf>
    <xf numFmtId="0" fontId="50" fillId="0" borderId="0" xfId="0" applyFont="1" applyFill="1" applyBorder="1">
      <alignment vertical="center"/>
    </xf>
    <xf numFmtId="177" fontId="47" fillId="0" borderId="0" xfId="198" applyNumberFormat="1" applyFont="1" applyFill="1" applyBorder="1" applyAlignment="1">
      <alignment horizontal="right" vertical="center"/>
    </xf>
    <xf numFmtId="0" fontId="47" fillId="0" borderId="0" xfId="5" applyFont="1" applyFill="1" applyBorder="1" applyAlignment="1">
      <alignment horizontal="center" vertical="center"/>
    </xf>
    <xf numFmtId="177" fontId="47" fillId="0" borderId="0" xfId="198" applyNumberFormat="1" applyFont="1" applyFill="1" applyBorder="1" applyAlignment="1">
      <alignment vertical="center"/>
    </xf>
  </cellXfs>
  <cellStyles count="232">
    <cellStyle name="1dec" xfId="7" xr:uid="{0D1CE018-5457-4E91-AC2C-09E4CA32045B}"/>
    <cellStyle name="20% - Accent1 2" xfId="8" xr:uid="{B6CBA161-7E51-4C8E-8496-AFEBDB3EC543}"/>
    <cellStyle name="20% - Accent1 3" xfId="9" xr:uid="{8184C39B-9F95-4B91-A3E3-46D237957CE1}"/>
    <cellStyle name="20% - Accent2 2" xfId="10" xr:uid="{9787C7E5-F6D4-40BE-BC07-EC80FFE705A3}"/>
    <cellStyle name="20% - Accent2 3" xfId="11" xr:uid="{14F83E17-616B-4D02-AFAB-0C98CC73C803}"/>
    <cellStyle name="20% - Accent3 2" xfId="12" xr:uid="{FB202239-AF7C-4528-B6A4-D699E7B46500}"/>
    <cellStyle name="20% - Accent3 3" xfId="13" xr:uid="{728F31D9-12B7-4CA7-9AE2-FFE170B029E1}"/>
    <cellStyle name="20% - Accent4 2" xfId="14" xr:uid="{5B10B9A7-E72F-40A4-868D-1F62B170E531}"/>
    <cellStyle name="20% - Accent4 3" xfId="15" xr:uid="{A83CF053-8350-4F6A-A5F9-0B2DD2F78D5B}"/>
    <cellStyle name="20% - Accent5 2" xfId="16" xr:uid="{A105667C-5E49-4AB2-B9DE-EF464E179800}"/>
    <cellStyle name="20% - Accent5 3" xfId="17" xr:uid="{9F59318B-E5FE-45BA-AB05-E958A95B17D7}"/>
    <cellStyle name="20% - Accent6 2" xfId="18" xr:uid="{627338C1-1130-44CC-A12D-CEB268A6B279}"/>
    <cellStyle name="20% - Accent6 3" xfId="19" xr:uid="{0D43EF75-3637-499F-83CF-C91D1143D412}"/>
    <cellStyle name="40% - Accent1 2" xfId="20" xr:uid="{C64AF6D3-6593-4F96-B9BA-DC762813F99B}"/>
    <cellStyle name="40% - Accent1 3" xfId="21" xr:uid="{1D7AC12C-5505-4B3A-A39B-6D2E2CC85CDB}"/>
    <cellStyle name="40% - Accent2 2" xfId="22" xr:uid="{8603511A-4568-493F-95F5-9F8CEB11FCC5}"/>
    <cellStyle name="40% - Accent2 3" xfId="23" xr:uid="{7707192D-82F7-49B4-BEBE-659327CE956D}"/>
    <cellStyle name="40% - Accent3 2" xfId="24" xr:uid="{DD33145E-2846-41B0-BFCD-E4AB678DC4DE}"/>
    <cellStyle name="40% - Accent3 3" xfId="25" xr:uid="{EE428426-3C1E-4174-B94C-03BE71080378}"/>
    <cellStyle name="40% - Accent4 2" xfId="26" xr:uid="{1A3746BF-744D-430A-935C-C9B4C7279254}"/>
    <cellStyle name="40% - Accent4 3" xfId="27" xr:uid="{CE70B56F-CE7E-4353-B012-B535C49F17B8}"/>
    <cellStyle name="40% - Accent5 2" xfId="28" xr:uid="{BA411DBC-2D8E-4F5F-BF97-781CFD8D906C}"/>
    <cellStyle name="40% - Accent5 3" xfId="29" xr:uid="{74F68B1D-5925-4610-B32B-CE62CE4BE7C4}"/>
    <cellStyle name="40% - Accent6 2" xfId="30" xr:uid="{8D11C058-D2C0-4DBF-BD33-8E7AD35D32D0}"/>
    <cellStyle name="40% - Accent6 3" xfId="31" xr:uid="{85C861FC-3F6C-4D91-B06E-B0CB86D9A07F}"/>
    <cellStyle name="60% - Accent1 2" xfId="32" xr:uid="{31527201-BE3B-408B-889C-5404B1A7C323}"/>
    <cellStyle name="60% - Accent1 3" xfId="33" xr:uid="{76B932FD-A3B7-4399-9B8B-81E5FFA66786}"/>
    <cellStyle name="60% - Accent2 2" xfId="34" xr:uid="{88D7FB5B-C79A-41F3-AD1E-B0431EA47218}"/>
    <cellStyle name="60% - Accent2 3" xfId="35" xr:uid="{5AEBA4B3-A8BD-4A10-AEB8-7615725B8C86}"/>
    <cellStyle name="60% - Accent3 2" xfId="36" xr:uid="{BAD9BFD2-7462-4C3C-B419-25A52AF32DDC}"/>
    <cellStyle name="60% - Accent3 3" xfId="37" xr:uid="{320890AC-01F2-4DE0-BAA5-3939090BF78C}"/>
    <cellStyle name="60% - Accent4 2" xfId="38" xr:uid="{D90E6C93-9F9D-4DA7-9650-C5BDB909842D}"/>
    <cellStyle name="60% - Accent4 3" xfId="39" xr:uid="{8AB3720C-F817-4A73-822F-9CEACB519FD8}"/>
    <cellStyle name="60% - Accent5 2" xfId="40" xr:uid="{188859B7-022B-4FF9-A204-1C5F4D4EF74D}"/>
    <cellStyle name="60% - Accent5 3" xfId="41" xr:uid="{19D5F157-48EC-458B-8FF5-9FE7CDE67430}"/>
    <cellStyle name="60% - Accent6 2" xfId="42" xr:uid="{C4ADFD67-36D3-4710-8E54-70E304E99AEA}"/>
    <cellStyle name="60% - Accent6 3" xfId="43" xr:uid="{541CD7CF-B003-4BA3-B236-82157A39D3DF}"/>
    <cellStyle name="A" xfId="44" xr:uid="{4C6C215E-090C-4011-B070-929EF7BE0669}"/>
    <cellStyle name="Accent1 2" xfId="45" xr:uid="{3B294F5A-C636-4D75-86B2-080B3CDE04FF}"/>
    <cellStyle name="Accent1 3" xfId="46" xr:uid="{2A4EE3EB-2E86-432F-B179-66E55A880AA2}"/>
    <cellStyle name="Accent2 2" xfId="47" xr:uid="{2CB41FDB-B127-4EC5-BCB5-BE97041DACB1}"/>
    <cellStyle name="Accent2 3" xfId="48" xr:uid="{D1DB9439-26F2-4130-B005-EA991FA499D4}"/>
    <cellStyle name="Accent3 2" xfId="49" xr:uid="{58B1AB56-F5E4-4FB0-B261-D066CB4A493F}"/>
    <cellStyle name="Accent3 3" xfId="50" xr:uid="{8A0FE06A-D80E-4AAA-9634-1718E6878D47}"/>
    <cellStyle name="Accent4 2" xfId="51" xr:uid="{BDE17DDF-7E7A-4986-9DC1-063143DF43D4}"/>
    <cellStyle name="Accent4 3" xfId="52" xr:uid="{2782C077-2C42-46F3-90EB-92887F76340B}"/>
    <cellStyle name="Accent5 2" xfId="53" xr:uid="{FE7F118F-5054-41BD-9FAF-4B18A86DBC15}"/>
    <cellStyle name="Accent5 3" xfId="54" xr:uid="{A245809C-54BA-4C23-AD54-C2D1B7EEFC70}"/>
    <cellStyle name="Accent6 2" xfId="55" xr:uid="{3C0B4F3F-2B1F-4DAC-82EF-34AA2D5C35A1}"/>
    <cellStyle name="Accent6 3" xfId="56" xr:uid="{48559E9D-B834-437F-8EED-37E15E508961}"/>
    <cellStyle name="Afrundet valuta_MEAN92" xfId="57" xr:uid="{63AEE4CF-14BB-4754-A19E-BA422118C5C7}"/>
    <cellStyle name="årstal" xfId="58" xr:uid="{0CEDB616-D4DD-4C68-824E-71EE33DCC047}"/>
    <cellStyle name="AZ1" xfId="59" xr:uid="{A7F86379-17AF-4D4F-9E3B-E02318BBA3AE}"/>
    <cellStyle name="Bad 2" xfId="60" xr:uid="{D693A2B0-3DFF-4F39-AB30-4BEBFFEDCBBA}"/>
    <cellStyle name="Bad 3" xfId="61" xr:uid="{76B6A19F-023C-4A68-8A97-2A2921581E1A}"/>
    <cellStyle name="Calculation 2" xfId="62" xr:uid="{7ACCD772-6CF7-4FB6-BB40-70B69FDB7D3A}"/>
    <cellStyle name="Calculation 3" xfId="63" xr:uid="{A716F42B-A295-48C6-A041-E57071CB9B1E}"/>
    <cellStyle name="Check Cell 2" xfId="64" xr:uid="{AE0286D2-9B25-4945-848C-5BAAC05EF9A4}"/>
    <cellStyle name="Check Cell 3" xfId="65" xr:uid="{DC957661-1780-48A3-89D5-121BAF7D31F9}"/>
    <cellStyle name="Comma 2" xfId="66" xr:uid="{D0667A19-1348-41F5-B62A-11E29D9DB8BF}"/>
    <cellStyle name="Comma 2 2" xfId="67" xr:uid="{E6B37EE9-A774-4936-AAA1-94E2D2BF279F}"/>
    <cellStyle name="Comma 3" xfId="68" xr:uid="{D5689532-87CE-4111-AAE2-24EE8F70387B}"/>
    <cellStyle name="Comma 3 2" xfId="69" xr:uid="{0F55E244-4423-41D5-A8CE-B44B0ABFEC31}"/>
    <cellStyle name="Comma 3 3" xfId="70" xr:uid="{151A165F-DFE7-4D2D-8AC2-A1028793563A}"/>
    <cellStyle name="Comma 4" xfId="71" xr:uid="{245C4263-FCBD-456D-9265-1470E3315BC0}"/>
    <cellStyle name="Comma 5" xfId="72" xr:uid="{713A0616-A9B2-4466-A512-46D7E5B642C6}"/>
    <cellStyle name="Comma0" xfId="73" xr:uid="{4B022146-B53A-4FA3-9BC9-EFCF9CBCA51E}"/>
    <cellStyle name="Currency0" xfId="74" xr:uid="{3C4D5639-B95A-4138-9CE7-EC1D13BC931E}"/>
    <cellStyle name="Date" xfId="75" xr:uid="{2F0ED2A7-F745-4774-89DC-A71FFECF9849}"/>
    <cellStyle name="Date 2" xfId="76" xr:uid="{7F964011-0BF0-4245-B3E2-03590AC47D63}"/>
    <cellStyle name="Dezimal [0]_Check" xfId="77" xr:uid="{C0FFBCAA-503A-4421-9865-360590EC1754}"/>
    <cellStyle name="Dezimal_Check" xfId="78" xr:uid="{1A557FB1-B212-4349-9AC4-1977E1D23847}"/>
    <cellStyle name="dobComma" xfId="79" xr:uid="{FAE63B8F-9250-430F-8E22-51C84573E766}"/>
    <cellStyle name="Euro" xfId="80" xr:uid="{C62AA5D8-70A5-4AFA-ADC7-51040772F3B1}"/>
    <cellStyle name="Explanatory Text 2" xfId="81" xr:uid="{BB1DB6C2-A3B7-464E-988A-8BC2D9C3314C}"/>
    <cellStyle name="Explanatory Text 3" xfId="82" xr:uid="{330C9016-6A35-4ACA-ACB3-01B8CF9D0989}"/>
    <cellStyle name="Fixed" xfId="83" xr:uid="{155E09B5-D13C-42C3-ABEC-A98FA2EAC951}"/>
    <cellStyle name="Good 2" xfId="84" xr:uid="{445C37D4-13D6-4F8C-B980-92544C9533B5}"/>
    <cellStyle name="Good 3" xfId="85" xr:uid="{8DB1967A-682B-4F2B-8EBE-7B0689E86CAC}"/>
    <cellStyle name="Haus" xfId="86" xr:uid="{EB4B2200-BFE3-40EB-8AE8-70D71E58D70C}"/>
    <cellStyle name="Haus 2" xfId="87" xr:uid="{D61D5F54-4F3D-40D2-8BF1-3CC559D150D3}"/>
    <cellStyle name="Heading 1 2" xfId="88" xr:uid="{D07E8ECA-08CD-4BF6-8232-ABBCC447451F}"/>
    <cellStyle name="Heading 1 2 2" xfId="89" xr:uid="{5B296102-E971-45FD-B492-51A1E31A367C}"/>
    <cellStyle name="Heading 1 3" xfId="90" xr:uid="{BF191D26-2DFA-4A56-B140-B888EB6D7D6E}"/>
    <cellStyle name="Heading 1 3 2" xfId="91" xr:uid="{6DF743FD-FE04-4594-86C2-5005E7E43D1C}"/>
    <cellStyle name="Heading 1 4" xfId="92" xr:uid="{BD26F6A7-06E1-421C-B847-41C78D45BE73}"/>
    <cellStyle name="Heading 1 5" xfId="93" xr:uid="{41F0EB2C-6E9A-4048-8DA3-4871B0CE542A}"/>
    <cellStyle name="Heading 1 6" xfId="94" xr:uid="{FE87C132-CD7E-4D97-A77B-59BAE7321149}"/>
    <cellStyle name="Heading 2 2" xfId="95" xr:uid="{7B28323A-001E-41C7-B8A5-332A916D5DF1}"/>
    <cellStyle name="Heading 2 2 2" xfId="96" xr:uid="{B6A4AECA-6152-4DA9-8CEF-8BD13A20E984}"/>
    <cellStyle name="Heading 2 3" xfId="97" xr:uid="{E54F43BC-C42B-4CCE-B5EA-2B322760F6F7}"/>
    <cellStyle name="Heading 2 3 2" xfId="98" xr:uid="{9C703FD6-021E-4AD0-B108-82DBA7BAB3BA}"/>
    <cellStyle name="Heading 2 4" xfId="99" xr:uid="{B138807A-01CD-4017-97DF-E79D45EAA47C}"/>
    <cellStyle name="Heading 2 5" xfId="100" xr:uid="{8455785B-27CB-4D72-BB52-1B2382665FC3}"/>
    <cellStyle name="Heading 2 6" xfId="101" xr:uid="{CE282DC3-2EC0-4D41-BB3B-929C5E3CC553}"/>
    <cellStyle name="Heading 3 2" xfId="102" xr:uid="{8E14D539-C032-4949-A33F-DD7C94F0DE64}"/>
    <cellStyle name="Heading 3 3" xfId="103" xr:uid="{ED26FC0C-FA76-4F96-A7F9-FCD96AA2CC20}"/>
    <cellStyle name="Heading 4 2" xfId="104" xr:uid="{C670926A-2D68-427C-85C6-50792F80C14F}"/>
    <cellStyle name="Heading 4 3" xfId="105" xr:uid="{49A4CCF5-2304-42EA-9509-182B02578999}"/>
    <cellStyle name="Hovede" xfId="106" xr:uid="{99F1A9D7-9069-4A3E-A2F5-5FC6D701BEBE}"/>
    <cellStyle name="Hovede 2" xfId="107" xr:uid="{2E1F1515-3664-40A6-9C0D-1C6E676746C6}"/>
    <cellStyle name="Hyperlink 2" xfId="109" xr:uid="{32AFD6D8-2576-48E5-A8A1-93A72F1FCA7F}"/>
    <cellStyle name="Hyperlink 2 2" xfId="110" xr:uid="{1BAC93B2-DA5A-4153-8695-BC86AE4B53F5}"/>
    <cellStyle name="Hyperlink 2_Social Expenditure Outlook" xfId="111" xr:uid="{586434EB-5C96-45DE-8313-F92AA4647184}"/>
    <cellStyle name="Hyperlink 3" xfId="112" xr:uid="{3BBC030E-045F-48B9-9875-3B002D3E0785}"/>
    <cellStyle name="Hyperlink 3 2" xfId="113" xr:uid="{B5F17307-7140-4A7D-8774-F1ACFDA1BE54}"/>
    <cellStyle name="Hyperlink 4" xfId="114" xr:uid="{BDD0065A-3687-4D41-B20B-EB176AEAB8A9}"/>
    <cellStyle name="Hyperlink 4 2" xfId="115" xr:uid="{737BC189-2E18-451E-804A-A4AD7B017023}"/>
    <cellStyle name="Hyperlink 4_Social Expenditure Outlook" xfId="116" xr:uid="{2ECEBBD8-A223-4AAF-B160-EE28E7D96388}"/>
    <cellStyle name="Hyperlink 5" xfId="117" xr:uid="{60FB1BED-BC8A-434D-8DBC-9052087738F5}"/>
    <cellStyle name="Hypertextový odkaz" xfId="118" xr:uid="{AB9CD2C9-B0B4-4B11-8724-63004F090900}"/>
    <cellStyle name="Hypertextový odkaz 2" xfId="119" xr:uid="{3D1ACA4F-F0F5-486F-9756-34D66B59726D}"/>
    <cellStyle name="Input 2" xfId="120" xr:uid="{BEDB9ACF-5A9D-4BF3-AAB2-D410E2DA83ED}"/>
    <cellStyle name="Input 3" xfId="121" xr:uid="{DA9A1794-A9D0-4730-96A0-B22B0B512B6A}"/>
    <cellStyle name="Linked Cell 2" xfId="122" xr:uid="{A67A963D-BFF3-45FC-9C7E-F8E3B5FC941D}"/>
    <cellStyle name="Linked Cell 3" xfId="123" xr:uid="{F41D0BC3-A17C-4885-AA83-900CE5D970DC}"/>
    <cellStyle name="Neutral 2" xfId="124" xr:uid="{DA631501-CCA2-4ADB-BDBE-5FA735CA3EF8}"/>
    <cellStyle name="Neutral 3" xfId="125" xr:uid="{7FF0BC88-8809-434D-B340-6C4CCCB25AFC}"/>
    <cellStyle name="No-definido" xfId="126" xr:uid="{C42412F8-1D66-442B-8815-9BB21921DE96}"/>
    <cellStyle name="No-definido 2" xfId="127" xr:uid="{54D1DB86-611D-4ADD-9FD5-B337AFCC7B65}"/>
    <cellStyle name="Normal 10" xfId="128" xr:uid="{F3E9DB95-6B09-4AAB-B800-C1A70635FE52}"/>
    <cellStyle name="Normal 10 2" xfId="129" xr:uid="{31B69AE5-9B79-4F3D-A7C9-4BB0822C8093}"/>
    <cellStyle name="Normal 100" xfId="4" xr:uid="{F2CA1D94-1492-4371-B4A6-BFB8AC6118EC}"/>
    <cellStyle name="Normal 11" xfId="130" xr:uid="{0495BD04-CEF8-408D-A994-B0FBF4638072}"/>
    <cellStyle name="Normal 17" xfId="131" xr:uid="{4007061C-D77D-4DF7-8501-77CB44424B06}"/>
    <cellStyle name="Normal 17 2" xfId="132" xr:uid="{9195E6FC-30B5-4110-ABCF-FA0C7D33BFD3}"/>
    <cellStyle name="Normal 17_Social Expenditure Outlook" xfId="133" xr:uid="{E5E35479-344F-4F19-800C-7277B31DF08D}"/>
    <cellStyle name="Normal 2" xfId="5" xr:uid="{C53F7945-0F53-498E-A334-A763554E9F91}"/>
    <cellStyle name="Normal 2 10" xfId="134" xr:uid="{EBA83D63-9556-410F-B310-D6480C3883F6}"/>
    <cellStyle name="Normal 2 10 2" xfId="135" xr:uid="{52E91549-77AA-4B26-AD02-64A9F6D14657}"/>
    <cellStyle name="Normal 2 10_Social Expenditure Outlook" xfId="136" xr:uid="{236109D5-FB7B-42A6-A042-EFF5E98B1E04}"/>
    <cellStyle name="Normal 2 11" xfId="137" xr:uid="{3C50C279-D0CC-47FC-B979-4C05D31E1BC3}"/>
    <cellStyle name="Normal 2 11 2" xfId="138" xr:uid="{0AF51522-29D5-4076-B3FC-AE7B794DF95B}"/>
    <cellStyle name="Normal 2 11_Social Expenditure Outlook" xfId="139" xr:uid="{8E9DBB58-F614-466C-8E08-9D072DD73FBA}"/>
    <cellStyle name="Normal 2 12" xfId="140" xr:uid="{D87A14BA-273F-448E-BA39-0C80D732FD9C}"/>
    <cellStyle name="Normal 2 12 2" xfId="141" xr:uid="{62B43710-5DBB-4F8B-A344-0C8262B18B6C}"/>
    <cellStyle name="Normal 2 12_Social Expenditure Outlook" xfId="142" xr:uid="{0E5559C3-5FCB-41CF-90F8-B9556DF4B9C1}"/>
    <cellStyle name="Normal 2 13" xfId="143" xr:uid="{2B9A9AB1-81D8-4890-8BF1-CAA9C61729A7}"/>
    <cellStyle name="Normal 2 13 2" xfId="144" xr:uid="{49BEAC78-D3FC-4052-BFEE-C5D9D4EC96C1}"/>
    <cellStyle name="Normal 2 13_Social Expenditure Outlook" xfId="145" xr:uid="{7AF3A7F4-0651-48CB-ABC3-840A123345AA}"/>
    <cellStyle name="Normal 2 14" xfId="146" xr:uid="{90DAA993-E5FE-473E-893E-A1D2AF804ECD}"/>
    <cellStyle name="Normal 2 14 2" xfId="147" xr:uid="{42B092FD-E05C-4574-9819-3267FB5BC898}"/>
    <cellStyle name="Normal 2 14_Social Expenditure Outlook" xfId="148" xr:uid="{E717A676-1EE9-4DBC-A5B8-4556418AD793}"/>
    <cellStyle name="Normal 2 15" xfId="149" xr:uid="{B15765FC-4007-4DCC-A0DC-0AC3ADF7DE52}"/>
    <cellStyle name="Normal 2 15 2" xfId="150" xr:uid="{204BFE23-3C8B-4279-BAAD-28B043399AF6}"/>
    <cellStyle name="Normal 2 15_Social Expenditure Outlook" xfId="151" xr:uid="{D59F661B-18AB-408C-8919-2D34441A7C29}"/>
    <cellStyle name="Normal 2 16" xfId="152" xr:uid="{B5C5C748-DB2E-4885-927A-4BF1B519EE68}"/>
    <cellStyle name="Normal 2 16 2" xfId="153" xr:uid="{64F04192-04A9-4263-873A-0550397C9800}"/>
    <cellStyle name="Normal 2 17" xfId="154" xr:uid="{73A8F230-4E27-4155-A40A-053989A89AC6}"/>
    <cellStyle name="Normal 2 18" xfId="155" xr:uid="{A2D3AA8B-7284-405F-BE1D-F26B82AE630E}"/>
    <cellStyle name="Normal 2 19" xfId="156" xr:uid="{552B558C-0064-4013-9608-CFBDB0139DEC}"/>
    <cellStyle name="Normal 2 2" xfId="157" xr:uid="{0D78AF75-21B1-4D15-80E6-44771F01AE1F}"/>
    <cellStyle name="Normal 2 2 2" xfId="158" xr:uid="{1F35F21E-3D6B-404E-96DB-07A7749AE350}"/>
    <cellStyle name="Normal 2 2_Social Expenditure Outlook" xfId="159" xr:uid="{19723988-1F64-4480-ABBE-C0A68572AD3E}"/>
    <cellStyle name="Normal 2 20" xfId="230" xr:uid="{3AE298B5-77DB-432D-B1F3-FD6D62989B8B}"/>
    <cellStyle name="Normal 2 3" xfId="160" xr:uid="{6E6C7E3F-A1F1-401B-B538-CF78F91794AF}"/>
    <cellStyle name="Normal 2 3 2" xfId="161" xr:uid="{871C3670-6B09-4B4F-8C79-346442B46D3B}"/>
    <cellStyle name="Normal 2 3_Social Expenditure Outlook" xfId="162" xr:uid="{336E3583-9EC2-4F94-B50C-2FB3FDAB954E}"/>
    <cellStyle name="Normal 2 4" xfId="163" xr:uid="{466E5A7F-0442-41CD-B771-C99E1D7640BC}"/>
    <cellStyle name="Normal 2 4 2" xfId="164" xr:uid="{4FFD075D-0F34-4BAB-AA98-C34933790756}"/>
    <cellStyle name="Normal 2 4_Social Expenditure Outlook" xfId="165" xr:uid="{A791F4BF-CE04-42F8-B4A3-2F7AACC0CDE5}"/>
    <cellStyle name="Normal 2 5" xfId="166" xr:uid="{48C3FAD2-BEFA-4F4C-9647-36CAA5A2994A}"/>
    <cellStyle name="Normal 2 5 2" xfId="167" xr:uid="{F82FCE44-6956-4015-94DD-1B65231911AE}"/>
    <cellStyle name="Normal 2 5_Social Expenditure Outlook" xfId="168" xr:uid="{A8EC13EE-DBF3-4F3F-97EA-1D6B359FE16E}"/>
    <cellStyle name="Normal 2 6" xfId="169" xr:uid="{045CDE5B-373D-4AED-826E-E631DC11F19F}"/>
    <cellStyle name="Normal 2 6 2" xfId="170" xr:uid="{60D0D42C-0D2F-48AB-B237-920F7181E17E}"/>
    <cellStyle name="Normal 2 6_Social Expenditure Outlook" xfId="171" xr:uid="{3A877440-0708-4BDF-BBBB-9B74AAD945BC}"/>
    <cellStyle name="Normal 2 7" xfId="172" xr:uid="{406FAFCF-CAF5-4D99-AD16-A81F7A733F19}"/>
    <cellStyle name="Normal 2 7 2" xfId="173" xr:uid="{EEB905B7-50EE-4CA7-B186-198C76EAB924}"/>
    <cellStyle name="Normal 2 7_Social Expenditure Outlook" xfId="174" xr:uid="{A00722C9-62F5-420F-9B68-D056EE3FDF42}"/>
    <cellStyle name="Normal 2 8" xfId="175" xr:uid="{6BB8F7AD-BBF3-4C81-8390-D4C40CE334C1}"/>
    <cellStyle name="Normal 2 8 2" xfId="176" xr:uid="{4018071D-30B0-4F6F-83FD-DBF82A1F3BD3}"/>
    <cellStyle name="Normal 2 8_Social Expenditure Outlook" xfId="177" xr:uid="{1F1DE04E-D71B-494C-AF68-27DB14F41EB0}"/>
    <cellStyle name="Normal 2 9" xfId="178" xr:uid="{EE69E4D5-E445-4247-93AE-85E1B5573110}"/>
    <cellStyle name="Normal 2 9 2" xfId="179" xr:uid="{FA458D0B-2EBC-4497-8FF9-5258DD9F059D}"/>
    <cellStyle name="Normal 2 9_Social Expenditure Outlook" xfId="180" xr:uid="{0C9433CE-1732-4780-BF26-3515CD5532CE}"/>
    <cellStyle name="Normal 3" xfId="181" xr:uid="{B41A52D4-7003-43C9-88F2-732FAD0B111B}"/>
    <cellStyle name="Normal 3 2" xfId="182" xr:uid="{1B577B58-3F54-4DF7-97C6-65A52BD75950}"/>
    <cellStyle name="Normal 4" xfId="183" xr:uid="{30201553-DB50-4F19-A0CD-256AE95160C5}"/>
    <cellStyle name="Normal 4 2" xfId="184" xr:uid="{83D81E92-D117-45B0-9B7B-D7F85B617F65}"/>
    <cellStyle name="Normal 5" xfId="185" xr:uid="{14A7ECEC-08D9-4ED6-A393-51BFD8096F97}"/>
    <cellStyle name="Normal 6" xfId="186" xr:uid="{39CEA835-3CFB-40A7-83F5-9B4BCA098D42}"/>
    <cellStyle name="Normal 7" xfId="187" xr:uid="{F1540D0F-1B38-4A16-9091-E7671D2E3E7A}"/>
    <cellStyle name="Normal 8" xfId="188" xr:uid="{12F418CA-A4AB-4175-B2EB-2B2961661800}"/>
    <cellStyle name="Normal 9" xfId="189" xr:uid="{34CDA405-B09E-49DC-A482-EE340D19FC70}"/>
    <cellStyle name="Normál_H-Quant99-01" xfId="190" xr:uid="{399A6DA5-FE3E-45FF-A4BA-768431607CFF}"/>
    <cellStyle name="NormalDK" xfId="191" xr:uid="{2A54ED71-B1CA-41D2-9EF5-9E5DA696E597}"/>
    <cellStyle name="NormalDK 2" xfId="192" xr:uid="{9C13DCEC-B2D0-421B-B77C-732006AE6DF1}"/>
    <cellStyle name="Normalny_FDB Quest - Parenting support" xfId="193" xr:uid="{0A72CB47-EC99-41EC-BCD2-1751CE84E66D}"/>
    <cellStyle name="Note 2" xfId="194" xr:uid="{2AA53AB9-CDA5-4D0E-A592-0DBECAB9F5E2}"/>
    <cellStyle name="Note 3" xfId="195" xr:uid="{0FCF1926-168D-4417-B084-517FA5107974}"/>
    <cellStyle name="Output 2" xfId="196" xr:uid="{4B6F8252-ED8E-4C73-93D7-6DF59B7BF25F}"/>
    <cellStyle name="Output 3" xfId="197" xr:uid="{83228256-AF5B-4BBC-BBCF-45F1793EB940}"/>
    <cellStyle name="Percent 2" xfId="198" xr:uid="{EA00E96E-5280-41E0-AB0F-E8CD079F9A6B}"/>
    <cellStyle name="Percent 2 2" xfId="231" xr:uid="{58B31871-DA8F-4CA4-AA37-50A46BFF8AE5}"/>
    <cellStyle name="Sbold" xfId="199" xr:uid="{82184A8B-DF2A-4CFF-BC77-C9C138AB4FDF}"/>
    <cellStyle name="Sledovaný hypertextový odkaz" xfId="200" xr:uid="{30C027F1-E9C9-48F4-A3DA-81816E94D00E}"/>
    <cellStyle name="Sledovaný hypertextový odkaz 2" xfId="201" xr:uid="{94EB4B76-1895-4196-A433-451F0BD0ACF9}"/>
    <cellStyle name="Snorm" xfId="202" xr:uid="{3CA43C5E-C65D-4CBF-9009-5EBE9B6268B2}"/>
    <cellStyle name="Snorm 2" xfId="203" xr:uid="{09BEA1C9-1835-46D3-AE4A-B9C120A0224F}"/>
    <cellStyle name="socxn" xfId="204" xr:uid="{C2F20985-97DE-4047-982E-C0A1BD60FA9F}"/>
    <cellStyle name="Standard_AT1990-2000Nat" xfId="205" xr:uid="{5E527764-6E49-483A-A6DA-AAEA28CE4545}"/>
    <cellStyle name="tal" xfId="206" xr:uid="{7DB4A224-EC01-4339-AC59-E6D3B4F193DA}"/>
    <cellStyle name="Title 2" xfId="207" xr:uid="{E75442CD-AE25-4691-AEB0-88F16F2DB16C}"/>
    <cellStyle name="Title 3" xfId="208" xr:uid="{FBFDAD83-2157-4A2B-8D8E-4E87E180E39D}"/>
    <cellStyle name="Total 2" xfId="209" xr:uid="{31A23CFA-52C1-4AA3-8941-98FD6A2AC554}"/>
    <cellStyle name="Total 2 2" xfId="210" xr:uid="{554B6573-4169-4020-AD18-4DF6897AFC6D}"/>
    <cellStyle name="Total 3" xfId="211" xr:uid="{79EB5E90-B9AA-42BB-BDCF-5420E1B6F21E}"/>
    <cellStyle name="Total 3 2" xfId="212" xr:uid="{3D2F1EEE-C3A0-4F10-9385-763812E14489}"/>
    <cellStyle name="Total 4" xfId="213" xr:uid="{5EBA5406-F560-4E04-8FBB-07EF6130DE36}"/>
    <cellStyle name="Total 5" xfId="214" xr:uid="{3E2BCEA0-799F-4EAA-A7F1-498A5EB67348}"/>
    <cellStyle name="Total 6" xfId="215" xr:uid="{A14AE32E-712F-48BA-B5A1-6FA61639C1BB}"/>
    <cellStyle name="Tusenskille [0]_NO" xfId="216" xr:uid="{CE034442-10D6-43C8-B205-B7E322CDC784}"/>
    <cellStyle name="Tusenskille_NO" xfId="217" xr:uid="{8830F778-9FD8-4F9E-AEE9-4CFEB233F2E5}"/>
    <cellStyle name="Tusental (0)_Data 1993" xfId="218" xr:uid="{877B220B-7927-487D-BB81-3F267B546D32}"/>
    <cellStyle name="Tusental_Data 1993" xfId="219" xr:uid="{6AFAE82E-D43F-40B0-9EAF-D1601E5F9CEF}"/>
    <cellStyle name="Valuta (0)_Data 1993" xfId="220" xr:uid="{D89F35CB-3DDF-42E0-A82B-D3EF51C6DC02}"/>
    <cellStyle name="Valuta [0]_NO" xfId="221" xr:uid="{F336F248-41E4-427D-A3F2-DF1B69A37F93}"/>
    <cellStyle name="Valuta_Data 1993" xfId="222" xr:uid="{D7E5649C-A08C-443F-A40B-A03027B27821}"/>
    <cellStyle name="Währung [0]_Check" xfId="223" xr:uid="{5BF4FE50-DA2B-44B6-8FE2-27C19DB3AE10}"/>
    <cellStyle name="Währung_Check" xfId="224" xr:uid="{AD6B1106-5727-4530-9AC2-A98BBE03BA91}"/>
    <cellStyle name="Warning Text 2" xfId="225" xr:uid="{0BEB2E43-BEFA-43E6-9D05-34DB9AC72A26}"/>
    <cellStyle name="Warning Text 3" xfId="226" xr:uid="{574656D3-20D8-41B0-BAE1-1AA55A01CE18}"/>
    <cellStyle name="백분율" xfId="228" builtinId="5"/>
    <cellStyle name="쉼표 [0] 2" xfId="1" xr:uid="{00000000-0005-0000-0000-000000000000}"/>
    <cellStyle name="표준" xfId="0" builtinId="0"/>
    <cellStyle name="표준 2" xfId="2" xr:uid="{3F0F9277-5262-43D8-AE99-F94ECE1FF303}"/>
    <cellStyle name="표준 3" xfId="3" xr:uid="{E594B141-731A-4B47-A5CD-1363A2ACCC07}"/>
    <cellStyle name="표준 4" xfId="6" xr:uid="{93931DAA-20DF-453A-BD2C-40B3A6EDA006}"/>
    <cellStyle name="표준 5" xfId="229" xr:uid="{A8B609D2-E470-4F34-8919-E7654BEB5FEA}"/>
    <cellStyle name="標準_②Ｂ分類事項一覧（英語）" xfId="227" xr:uid="{606DB6DA-4334-4F08-AE0D-E6C4926F79C5}"/>
    <cellStyle name="하이퍼링크 2" xfId="108" xr:uid="{D16DC4C5-60D7-46BF-AF1B-E55C82D93E9B}"/>
  </cellStyles>
  <dxfs count="0"/>
  <tableStyles count="0" defaultTableStyle="TableStyleMedium2" defaultPivotStyle="PivotStyleLight16"/>
  <colors>
    <mruColors>
      <color rgb="FFBF4646"/>
      <color rgb="FFD89090"/>
      <color rgb="FFEDDCC6"/>
      <color rgb="FF7EACB5"/>
      <color rgb="FF0B2D72"/>
      <color rgb="FFB8D1D6"/>
      <color rgb="FF4988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33620</xdr:colOff>
      <xdr:row>87</xdr:row>
      <xdr:rowOff>150480</xdr:rowOff>
    </xdr:from>
    <xdr:to>
      <xdr:col>4</xdr:col>
      <xdr:colOff>1062139</xdr:colOff>
      <xdr:row>88</xdr:row>
      <xdr:rowOff>159286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4B6E0FD-DD7A-EF86-FFB2-4F0A87EB6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2061" y="23783686"/>
          <a:ext cx="7392339" cy="176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434C-9050-4526-A7AA-A01C57403DE6}">
  <dimension ref="A1:C33"/>
  <sheetViews>
    <sheetView tabSelected="1" zoomScaleNormal="100" workbookViewId="0"/>
  </sheetViews>
  <sheetFormatPr defaultColWidth="12.6328125" defaultRowHeight="16"/>
  <cols>
    <col min="1" max="16384" width="12.6328125" style="4"/>
  </cols>
  <sheetData>
    <row r="1" spans="1:3">
      <c r="A1" s="4" t="s">
        <v>123</v>
      </c>
    </row>
    <row r="3" spans="1:3">
      <c r="C3" s="1" t="s">
        <v>124</v>
      </c>
    </row>
    <row r="4" spans="1:3">
      <c r="A4" s="2" t="s">
        <v>138</v>
      </c>
      <c r="B4" s="2" t="s">
        <v>1</v>
      </c>
      <c r="C4" s="2" t="s">
        <v>7</v>
      </c>
    </row>
    <row r="5" spans="1:3">
      <c r="A5" s="19" t="s">
        <v>2</v>
      </c>
      <c r="B5" s="3">
        <v>19.711742263671049</v>
      </c>
      <c r="C5" s="3">
        <v>34.056350626118068</v>
      </c>
    </row>
    <row r="6" spans="1:3">
      <c r="A6" s="19" t="s">
        <v>3</v>
      </c>
      <c r="B6" s="3">
        <v>55.934718100890215</v>
      </c>
      <c r="C6" s="3">
        <v>63.796958855098381</v>
      </c>
    </row>
    <row r="7" spans="1:3">
      <c r="A7" s="19" t="s">
        <v>4</v>
      </c>
      <c r="B7" s="3">
        <v>84.718100890207708</v>
      </c>
      <c r="C7" s="3">
        <v>88.036672629695886</v>
      </c>
    </row>
    <row r="8" spans="1:3">
      <c r="A8" s="19" t="s">
        <v>5</v>
      </c>
      <c r="B8" s="3">
        <v>119.11827045358203</v>
      </c>
      <c r="C8" s="3">
        <v>117.128801431127</v>
      </c>
    </row>
    <row r="9" spans="1:3">
      <c r="A9" s="19" t="s">
        <v>6</v>
      </c>
      <c r="B9" s="3">
        <v>220.517168291649</v>
      </c>
      <c r="C9" s="3">
        <v>196.89177101967798</v>
      </c>
    </row>
    <row r="11" spans="1:3">
      <c r="A11" s="4" t="s">
        <v>120</v>
      </c>
    </row>
    <row r="12" spans="1:3">
      <c r="A12" s="4" t="s">
        <v>122</v>
      </c>
    </row>
    <row r="13" spans="1:3">
      <c r="A13" s="4" t="s">
        <v>121</v>
      </c>
    </row>
    <row r="33" s="4" customFormat="1"/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9EE0-4566-4875-9C27-D6AD84F3693A}">
  <dimension ref="A1:C22"/>
  <sheetViews>
    <sheetView zoomScaleNormal="100" workbookViewId="0"/>
  </sheetViews>
  <sheetFormatPr defaultColWidth="12.6328125" defaultRowHeight="16"/>
  <cols>
    <col min="1" max="16384" width="12.6328125" style="4"/>
  </cols>
  <sheetData>
    <row r="1" spans="1:3">
      <c r="A1" s="4" t="s">
        <v>127</v>
      </c>
    </row>
    <row r="3" spans="1:3">
      <c r="C3" s="1" t="s">
        <v>125</v>
      </c>
    </row>
    <row r="4" spans="1:3">
      <c r="A4" s="2" t="s">
        <v>129</v>
      </c>
      <c r="B4" s="2" t="s">
        <v>1</v>
      </c>
      <c r="C4" s="2" t="s">
        <v>7</v>
      </c>
    </row>
    <row r="5" spans="1:3">
      <c r="A5" s="2">
        <v>2011</v>
      </c>
      <c r="B5" s="6">
        <v>11.21</v>
      </c>
      <c r="C5" s="6">
        <v>8.25</v>
      </c>
    </row>
    <row r="6" spans="1:3">
      <c r="A6" s="2">
        <v>2012</v>
      </c>
      <c r="B6" s="6">
        <v>10.65</v>
      </c>
      <c r="C6" s="6">
        <v>8.01</v>
      </c>
    </row>
    <row r="7" spans="1:3">
      <c r="A7" s="2">
        <v>2013</v>
      </c>
      <c r="B7" s="6">
        <v>10.29</v>
      </c>
      <c r="C7" s="6">
        <v>7.58</v>
      </c>
    </row>
    <row r="8" spans="1:3">
      <c r="A8" s="2">
        <v>2014</v>
      </c>
      <c r="B8" s="6">
        <v>10.32</v>
      </c>
      <c r="C8" s="6">
        <v>7.27</v>
      </c>
    </row>
    <row r="9" spans="1:3">
      <c r="A9" s="2">
        <v>2015</v>
      </c>
      <c r="B9" s="6">
        <v>10.41</v>
      </c>
      <c r="C9" s="6">
        <v>6.81</v>
      </c>
    </row>
    <row r="10" spans="1:3">
      <c r="A10" s="2">
        <v>2016</v>
      </c>
      <c r="B10" s="6">
        <v>10.88</v>
      </c>
      <c r="C10" s="6">
        <v>6.87</v>
      </c>
    </row>
    <row r="11" spans="1:3">
      <c r="A11" s="2">
        <v>2017</v>
      </c>
      <c r="B11" s="6">
        <v>11.27</v>
      </c>
      <c r="C11" s="6">
        <v>6.84</v>
      </c>
    </row>
    <row r="12" spans="1:3">
      <c r="A12" s="2">
        <v>2018</v>
      </c>
      <c r="B12" s="6">
        <v>11.15</v>
      </c>
      <c r="C12" s="6">
        <v>6.43</v>
      </c>
    </row>
    <row r="13" spans="1:3">
      <c r="A13" s="2">
        <v>2019</v>
      </c>
      <c r="B13" s="6">
        <v>11.56</v>
      </c>
      <c r="C13" s="6">
        <v>6.17</v>
      </c>
    </row>
    <row r="14" spans="1:3">
      <c r="A14" s="2">
        <v>2020</v>
      </c>
      <c r="B14" s="6">
        <v>11.37</v>
      </c>
      <c r="C14" s="6">
        <v>5.75</v>
      </c>
    </row>
    <row r="15" spans="1:3">
      <c r="A15" s="2">
        <v>2021</v>
      </c>
      <c r="B15" s="6">
        <v>11.52</v>
      </c>
      <c r="C15" s="6">
        <v>5.83</v>
      </c>
    </row>
    <row r="16" spans="1:3">
      <c r="A16" s="2">
        <v>2022</v>
      </c>
      <c r="B16" s="6">
        <v>10.99</v>
      </c>
      <c r="C16" s="6">
        <v>5.76</v>
      </c>
    </row>
    <row r="17" spans="1:3">
      <c r="A17" s="2">
        <v>2023</v>
      </c>
      <c r="B17" s="6">
        <v>10.7</v>
      </c>
      <c r="C17" s="6">
        <v>5.72</v>
      </c>
    </row>
    <row r="18" spans="1:3">
      <c r="A18" s="2">
        <v>2024</v>
      </c>
      <c r="B18" s="6">
        <v>11.19</v>
      </c>
      <c r="C18" s="6">
        <v>5.78</v>
      </c>
    </row>
    <row r="20" spans="1:3">
      <c r="A20" s="4" t="s">
        <v>126</v>
      </c>
    </row>
    <row r="21" spans="1:3">
      <c r="A21" s="4" t="s">
        <v>122</v>
      </c>
    </row>
    <row r="22" spans="1:3">
      <c r="A22" s="4" t="s">
        <v>128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E500-F8AB-4B6D-BA6E-56EBDA9E3682}">
  <dimension ref="A1:B87"/>
  <sheetViews>
    <sheetView zoomScaleNormal="100" workbookViewId="0"/>
  </sheetViews>
  <sheetFormatPr defaultColWidth="20.6328125" defaultRowHeight="16"/>
  <cols>
    <col min="1" max="16384" width="20.6328125" style="4"/>
  </cols>
  <sheetData>
    <row r="1" spans="1:2">
      <c r="A1" s="4" t="s">
        <v>134</v>
      </c>
    </row>
    <row r="3" spans="1:2">
      <c r="B3" s="1" t="s">
        <v>125</v>
      </c>
    </row>
    <row r="4" spans="1:2">
      <c r="A4" s="4" t="s">
        <v>8</v>
      </c>
      <c r="B4" s="2" t="s">
        <v>130</v>
      </c>
    </row>
    <row r="5" spans="1:2" s="9" customFormat="1">
      <c r="A5" s="7" t="s">
        <v>44</v>
      </c>
      <c r="B5" s="8">
        <v>3.45422339439392</v>
      </c>
    </row>
    <row r="6" spans="1:2" s="9" customFormat="1">
      <c r="A6" s="7" t="s">
        <v>43</v>
      </c>
      <c r="B6" s="8">
        <v>3.5365452766418501</v>
      </c>
    </row>
    <row r="7" spans="1:2" s="9" customFormat="1">
      <c r="A7" s="7" t="s">
        <v>42</v>
      </c>
      <c r="B7" s="8">
        <v>3.5367329120636</v>
      </c>
    </row>
    <row r="8" spans="1:2" s="9" customFormat="1">
      <c r="A8" s="7" t="s">
        <v>41</v>
      </c>
      <c r="B8" s="8">
        <v>3.5705535411834699</v>
      </c>
    </row>
    <row r="9" spans="1:2" s="9" customFormat="1">
      <c r="A9" s="7" t="s">
        <v>40</v>
      </c>
      <c r="B9" s="8">
        <v>3.9490611396270499</v>
      </c>
    </row>
    <row r="10" spans="1:2" s="9" customFormat="1">
      <c r="A10" s="7" t="s">
        <v>39</v>
      </c>
      <c r="B10" s="8">
        <v>3.9659981727600102</v>
      </c>
    </row>
    <row r="11" spans="1:2" s="9" customFormat="1">
      <c r="A11" s="7" t="s">
        <v>38</v>
      </c>
      <c r="B11" s="8">
        <v>3.9715378289753498</v>
      </c>
    </row>
    <row r="12" spans="1:2" s="9" customFormat="1">
      <c r="A12" s="7" t="s">
        <v>37</v>
      </c>
      <c r="B12" s="8">
        <v>4.1023807525634801</v>
      </c>
    </row>
    <row r="13" spans="1:2" s="9" customFormat="1">
      <c r="A13" s="7" t="s">
        <v>36</v>
      </c>
      <c r="B13" s="8">
        <v>4.1562213897705096</v>
      </c>
    </row>
    <row r="14" spans="1:2" s="9" customFormat="1">
      <c r="A14" s="7" t="s">
        <v>35</v>
      </c>
      <c r="B14" s="8">
        <v>4.30889261309399</v>
      </c>
    </row>
    <row r="15" spans="1:2" s="9" customFormat="1">
      <c r="A15" s="7" t="s">
        <v>34</v>
      </c>
      <c r="B15" s="8">
        <v>4.33021783828735</v>
      </c>
    </row>
    <row r="16" spans="1:2" s="9" customFormat="1">
      <c r="A16" s="7" t="s">
        <v>33</v>
      </c>
      <c r="B16" s="8">
        <v>4.4123554229736301</v>
      </c>
    </row>
    <row r="17" spans="1:2" s="9" customFormat="1">
      <c r="A17" s="7" t="s">
        <v>32</v>
      </c>
      <c r="B17" s="8">
        <v>4.4866207951070303</v>
      </c>
    </row>
    <row r="18" spans="1:2" s="9" customFormat="1">
      <c r="A18" s="7" t="s">
        <v>31</v>
      </c>
      <c r="B18" s="8">
        <v>4.51760053634644</v>
      </c>
    </row>
    <row r="19" spans="1:2" s="9" customFormat="1">
      <c r="A19" s="7" t="s">
        <v>30</v>
      </c>
      <c r="B19" s="8">
        <v>4.6590036716836698</v>
      </c>
    </row>
    <row r="20" spans="1:2" s="9" customFormat="1">
      <c r="A20" s="7" t="s">
        <v>29</v>
      </c>
      <c r="B20" s="8">
        <v>4.8655462184873901</v>
      </c>
    </row>
    <row r="21" spans="1:2" s="9" customFormat="1">
      <c r="A21" s="7" t="s">
        <v>28</v>
      </c>
      <c r="B21" s="8">
        <v>5.0061354637145996</v>
      </c>
    </row>
    <row r="22" spans="1:2" s="9" customFormat="1">
      <c r="A22" s="7" t="s">
        <v>27</v>
      </c>
      <c r="B22" s="8">
        <v>5.0441784858703604</v>
      </c>
    </row>
    <row r="23" spans="1:2" s="9" customFormat="1">
      <c r="A23" s="7" t="s">
        <v>26</v>
      </c>
      <c r="B23" s="8">
        <v>5.1583294868469203</v>
      </c>
    </row>
    <row r="24" spans="1:2" s="9" customFormat="1">
      <c r="A24" s="7" t="s">
        <v>25</v>
      </c>
      <c r="B24" s="8">
        <v>5.3540191650390598</v>
      </c>
    </row>
    <row r="25" spans="1:2" s="9" customFormat="1">
      <c r="A25" s="7" t="s">
        <v>24</v>
      </c>
      <c r="B25" s="8">
        <v>5.4814796447753897</v>
      </c>
    </row>
    <row r="26" spans="1:2" s="9" customFormat="1">
      <c r="A26" s="7" t="s">
        <v>23</v>
      </c>
      <c r="B26" s="8">
        <v>5.4869914054870597</v>
      </c>
    </row>
    <row r="27" spans="1:2" s="9" customFormat="1">
      <c r="A27" s="7" t="s">
        <v>22</v>
      </c>
      <c r="B27" s="8">
        <v>5.52908047453852</v>
      </c>
    </row>
    <row r="28" spans="1:2" s="9" customFormat="1">
      <c r="A28" s="7" t="s">
        <v>21</v>
      </c>
      <c r="B28" s="8">
        <v>5.5658082962036097</v>
      </c>
    </row>
    <row r="29" spans="1:2" s="9" customFormat="1">
      <c r="A29" s="7" t="s">
        <v>20</v>
      </c>
      <c r="B29" s="8">
        <v>5.7662434652725896</v>
      </c>
    </row>
    <row r="30" spans="1:2" s="9" customFormat="1">
      <c r="A30" s="7" t="s">
        <v>19</v>
      </c>
      <c r="B30" s="8">
        <v>6.24601078033447</v>
      </c>
    </row>
    <row r="31" spans="1:2" s="9" customFormat="1">
      <c r="A31" s="7" t="s">
        <v>18</v>
      </c>
      <c r="B31" s="8">
        <v>6.3376574837582096</v>
      </c>
    </row>
    <row r="32" spans="1:2" s="9" customFormat="1">
      <c r="A32" s="7" t="s">
        <v>16</v>
      </c>
      <c r="B32" s="8">
        <v>6.3548387096774199</v>
      </c>
    </row>
    <row r="33" spans="1:2" s="9" customFormat="1">
      <c r="A33" s="7" t="s">
        <v>17</v>
      </c>
      <c r="B33" s="8">
        <v>6.4011934996120399</v>
      </c>
    </row>
    <row r="34" spans="1:2" s="9" customFormat="1">
      <c r="A34" s="7" t="s">
        <v>15</v>
      </c>
      <c r="B34" s="8">
        <v>6.5358781814575204</v>
      </c>
    </row>
    <row r="35" spans="1:2" s="9" customFormat="1">
      <c r="A35" s="7" t="s">
        <v>14</v>
      </c>
      <c r="B35" s="8">
        <v>7.7924184373487098</v>
      </c>
    </row>
    <row r="36" spans="1:2" s="9" customFormat="1">
      <c r="A36" s="7" t="s">
        <v>13</v>
      </c>
      <c r="B36" s="8">
        <v>8.0454698035379195</v>
      </c>
    </row>
    <row r="37" spans="1:2" s="9" customFormat="1">
      <c r="A37" s="7" t="s">
        <v>12</v>
      </c>
      <c r="B37" s="8">
        <v>8.6049950706539597</v>
      </c>
    </row>
    <row r="38" spans="1:2" s="9" customFormat="1">
      <c r="A38" s="7" t="s">
        <v>11</v>
      </c>
      <c r="B38" s="8">
        <v>10.1225416281764</v>
      </c>
    </row>
    <row r="39" spans="1:2" s="9" customFormat="1">
      <c r="A39" s="7" t="s">
        <v>10</v>
      </c>
      <c r="B39" s="8">
        <v>12.2901306227297</v>
      </c>
    </row>
    <row r="41" spans="1:2">
      <c r="A41" s="4" t="s">
        <v>126</v>
      </c>
    </row>
    <row r="42" spans="1:2">
      <c r="A42" s="4" t="s">
        <v>132</v>
      </c>
    </row>
    <row r="43" spans="1:2">
      <c r="A43" s="4" t="s">
        <v>133</v>
      </c>
    </row>
    <row r="44" spans="1:2">
      <c r="A44" s="4" t="s">
        <v>131</v>
      </c>
    </row>
    <row r="52" spans="1:2">
      <c r="A52" s="4" t="s">
        <v>8</v>
      </c>
      <c r="B52" s="4" t="s">
        <v>9</v>
      </c>
    </row>
    <row r="53" spans="1:2">
      <c r="A53" s="10" t="s">
        <v>10</v>
      </c>
      <c r="B53" s="11" t="e">
        <f>B5-#REF!</f>
        <v>#REF!</v>
      </c>
    </row>
    <row r="54" spans="1:2">
      <c r="A54" s="10" t="s">
        <v>11</v>
      </c>
      <c r="B54" s="11" t="e">
        <f>B6-#REF!</f>
        <v>#REF!</v>
      </c>
    </row>
    <row r="55" spans="1:2">
      <c r="A55" s="10" t="s">
        <v>12</v>
      </c>
      <c r="B55" s="11" t="e">
        <f>B7-#REF!</f>
        <v>#REF!</v>
      </c>
    </row>
    <row r="56" spans="1:2">
      <c r="A56" s="10" t="s">
        <v>13</v>
      </c>
      <c r="B56" s="11" t="e">
        <f>B8-#REF!</f>
        <v>#REF!</v>
      </c>
    </row>
    <row r="57" spans="1:2">
      <c r="A57" s="10" t="s">
        <v>14</v>
      </c>
      <c r="B57" s="11" t="e">
        <f>B9-#REF!</f>
        <v>#REF!</v>
      </c>
    </row>
    <row r="58" spans="1:2">
      <c r="A58" s="10" t="s">
        <v>15</v>
      </c>
      <c r="B58" s="11" t="e">
        <f>B10-#REF!</f>
        <v>#REF!</v>
      </c>
    </row>
    <row r="59" spans="1:2">
      <c r="A59" s="10" t="s">
        <v>16</v>
      </c>
      <c r="B59" s="11" t="e">
        <f>B11-#REF!</f>
        <v>#REF!</v>
      </c>
    </row>
    <row r="60" spans="1:2">
      <c r="A60" s="10" t="s">
        <v>17</v>
      </c>
      <c r="B60" s="11" t="e">
        <f>B12-#REF!</f>
        <v>#REF!</v>
      </c>
    </row>
    <row r="61" spans="1:2">
      <c r="A61" s="10" t="s">
        <v>18</v>
      </c>
      <c r="B61" s="11" t="e">
        <f>B13-#REF!</f>
        <v>#REF!</v>
      </c>
    </row>
    <row r="62" spans="1:2">
      <c r="A62" s="10" t="s">
        <v>19</v>
      </c>
      <c r="B62" s="11" t="e">
        <f>B14-#REF!</f>
        <v>#REF!</v>
      </c>
    </row>
    <row r="63" spans="1:2">
      <c r="A63" s="10" t="s">
        <v>20</v>
      </c>
      <c r="B63" s="11" t="e">
        <f>B15-#REF!</f>
        <v>#REF!</v>
      </c>
    </row>
    <row r="64" spans="1:2">
      <c r="A64" s="10" t="s">
        <v>21</v>
      </c>
      <c r="B64" s="11" t="e">
        <f>B16-#REF!</f>
        <v>#REF!</v>
      </c>
    </row>
    <row r="65" spans="1:2">
      <c r="A65" s="10" t="s">
        <v>22</v>
      </c>
      <c r="B65" s="11" t="e">
        <f>B17-#REF!</f>
        <v>#REF!</v>
      </c>
    </row>
    <row r="66" spans="1:2">
      <c r="A66" s="10" t="s">
        <v>23</v>
      </c>
      <c r="B66" s="11" t="e">
        <f>B18-#REF!</f>
        <v>#REF!</v>
      </c>
    </row>
    <row r="67" spans="1:2">
      <c r="A67" s="10" t="s">
        <v>24</v>
      </c>
      <c r="B67" s="11" t="e">
        <f>B19-#REF!</f>
        <v>#REF!</v>
      </c>
    </row>
    <row r="68" spans="1:2">
      <c r="A68" s="10" t="s">
        <v>25</v>
      </c>
      <c r="B68" s="11" t="e">
        <f>B20-#REF!</f>
        <v>#REF!</v>
      </c>
    </row>
    <row r="69" spans="1:2">
      <c r="A69" s="10" t="s">
        <v>26</v>
      </c>
      <c r="B69" s="11" t="e">
        <f>B21-#REF!</f>
        <v>#REF!</v>
      </c>
    </row>
    <row r="70" spans="1:2">
      <c r="A70" s="10" t="s">
        <v>27</v>
      </c>
      <c r="B70" s="11" t="e">
        <f>B22-#REF!</f>
        <v>#REF!</v>
      </c>
    </row>
    <row r="71" spans="1:2">
      <c r="A71" s="10" t="s">
        <v>28</v>
      </c>
      <c r="B71" s="11" t="e">
        <f>B23-#REF!</f>
        <v>#REF!</v>
      </c>
    </row>
    <row r="72" spans="1:2">
      <c r="A72" s="10" t="s">
        <v>29</v>
      </c>
      <c r="B72" s="11" t="e">
        <f>B24-#REF!</f>
        <v>#REF!</v>
      </c>
    </row>
    <row r="73" spans="1:2">
      <c r="A73" s="10" t="s">
        <v>30</v>
      </c>
      <c r="B73" s="11" t="e">
        <f>B25-#REF!</f>
        <v>#REF!</v>
      </c>
    </row>
    <row r="74" spans="1:2">
      <c r="A74" s="10" t="s">
        <v>31</v>
      </c>
      <c r="B74" s="11" t="e">
        <f>B26-#REF!</f>
        <v>#REF!</v>
      </c>
    </row>
    <row r="75" spans="1:2">
      <c r="A75" s="10" t="s">
        <v>32</v>
      </c>
      <c r="B75" s="11" t="e">
        <f>B27-#REF!</f>
        <v>#REF!</v>
      </c>
    </row>
    <row r="76" spans="1:2">
      <c r="A76" s="10" t="s">
        <v>33</v>
      </c>
      <c r="B76" s="11" t="e">
        <f>B28-#REF!</f>
        <v>#REF!</v>
      </c>
    </row>
    <row r="77" spans="1:2">
      <c r="A77" s="10" t="s">
        <v>34</v>
      </c>
      <c r="B77" s="11" t="e">
        <f>B29-#REF!</f>
        <v>#REF!</v>
      </c>
    </row>
    <row r="78" spans="1:2">
      <c r="A78" s="10" t="s">
        <v>35</v>
      </c>
      <c r="B78" s="11" t="e">
        <f>B30-#REF!</f>
        <v>#REF!</v>
      </c>
    </row>
    <row r="79" spans="1:2">
      <c r="A79" s="10" t="s">
        <v>36</v>
      </c>
      <c r="B79" s="11" t="e">
        <f>B31-#REF!</f>
        <v>#REF!</v>
      </c>
    </row>
    <row r="80" spans="1:2">
      <c r="A80" s="10" t="s">
        <v>37</v>
      </c>
      <c r="B80" s="11" t="e">
        <f>B32-#REF!</f>
        <v>#REF!</v>
      </c>
    </row>
    <row r="81" spans="1:2">
      <c r="A81" s="10" t="s">
        <v>38</v>
      </c>
      <c r="B81" s="11" t="e">
        <f>B33-#REF!</f>
        <v>#REF!</v>
      </c>
    </row>
    <row r="82" spans="1:2">
      <c r="A82" s="10" t="s">
        <v>39</v>
      </c>
      <c r="B82" s="11" t="e">
        <f>B34-#REF!</f>
        <v>#REF!</v>
      </c>
    </row>
    <row r="83" spans="1:2">
      <c r="A83" s="10" t="s">
        <v>40</v>
      </c>
      <c r="B83" s="11" t="e">
        <f>B35-#REF!</f>
        <v>#REF!</v>
      </c>
    </row>
    <row r="84" spans="1:2">
      <c r="A84" s="10" t="s">
        <v>41</v>
      </c>
      <c r="B84" s="11" t="e">
        <f>B36-#REF!</f>
        <v>#REF!</v>
      </c>
    </row>
    <row r="85" spans="1:2">
      <c r="A85" s="10" t="s">
        <v>42</v>
      </c>
      <c r="B85" s="11" t="e">
        <f>B37-#REF!</f>
        <v>#REF!</v>
      </c>
    </row>
    <row r="86" spans="1:2">
      <c r="A86" s="10" t="s">
        <v>43</v>
      </c>
      <c r="B86" s="11" t="e">
        <f>B38-#REF!</f>
        <v>#REF!</v>
      </c>
    </row>
    <row r="87" spans="1:2">
      <c r="A87" s="10" t="s">
        <v>44</v>
      </c>
      <c r="B87" s="11" t="e">
        <f>B39-#REF!</f>
        <v>#REF!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5EE7-C46D-40FE-8586-898E1CBB7461}">
  <dimension ref="A1:AA102"/>
  <sheetViews>
    <sheetView zoomScaleNormal="100" workbookViewId="0"/>
  </sheetViews>
  <sheetFormatPr defaultColWidth="12.6328125" defaultRowHeight="16"/>
  <cols>
    <col min="1" max="16384" width="12.6328125" style="12"/>
  </cols>
  <sheetData>
    <row r="1" spans="1:3">
      <c r="A1" s="12" t="s">
        <v>135</v>
      </c>
    </row>
    <row r="3" spans="1:3">
      <c r="C3" s="1" t="s">
        <v>125</v>
      </c>
    </row>
    <row r="4" spans="1:3">
      <c r="A4" s="16" t="s">
        <v>137</v>
      </c>
      <c r="B4" s="17" t="s">
        <v>1</v>
      </c>
      <c r="C4" s="17" t="s">
        <v>7</v>
      </c>
    </row>
    <row r="5" spans="1:3">
      <c r="A5" s="18" t="s">
        <v>45</v>
      </c>
      <c r="B5" s="14">
        <v>5.6580000000000004</v>
      </c>
      <c r="C5" s="14">
        <v>4.5970000000000004</v>
      </c>
    </row>
    <row r="6" spans="1:3">
      <c r="A6" s="18" t="s">
        <v>115</v>
      </c>
      <c r="B6" s="14">
        <v>5.149</v>
      </c>
      <c r="C6" s="14">
        <v>4.117</v>
      </c>
    </row>
    <row r="7" spans="1:3">
      <c r="A7" s="18" t="s">
        <v>116</v>
      </c>
      <c r="B7" s="14">
        <v>6.1520000000000001</v>
      </c>
      <c r="C7" s="14">
        <v>4.6639999999999997</v>
      </c>
    </row>
    <row r="8" spans="1:3">
      <c r="A8" s="18" t="s">
        <v>117</v>
      </c>
      <c r="B8" s="14">
        <v>6.734</v>
      </c>
      <c r="C8" s="14">
        <v>5.0540000000000003</v>
      </c>
    </row>
    <row r="9" spans="1:3">
      <c r="A9" s="18" t="s">
        <v>49</v>
      </c>
      <c r="B9" s="14">
        <v>28.771000000000001</v>
      </c>
      <c r="C9" s="14">
        <v>7.3680000000000003</v>
      </c>
    </row>
    <row r="11" spans="1:3">
      <c r="A11" s="12" t="s">
        <v>126</v>
      </c>
    </row>
    <row r="12" spans="1:3">
      <c r="A12" s="12" t="s">
        <v>122</v>
      </c>
    </row>
    <row r="13" spans="1:3">
      <c r="A13" s="12" t="s">
        <v>136</v>
      </c>
    </row>
    <row r="21" spans="16:27">
      <c r="P21" s="13"/>
      <c r="Q21" s="14"/>
      <c r="R21" s="14"/>
      <c r="S21" s="14"/>
      <c r="T21" s="14"/>
      <c r="U21" s="14"/>
      <c r="V21" s="14"/>
      <c r="W21" s="14"/>
      <c r="X21" s="14"/>
      <c r="Y21" s="14"/>
    </row>
    <row r="22" spans="16:27">
      <c r="P22" s="13"/>
      <c r="Q22" s="14"/>
      <c r="R22" s="14"/>
      <c r="S22" s="14"/>
      <c r="T22" s="14"/>
      <c r="U22" s="14"/>
      <c r="V22" s="14"/>
      <c r="W22" s="14"/>
      <c r="X22" s="14"/>
      <c r="Y22" s="14"/>
    </row>
    <row r="23" spans="16:27">
      <c r="P23" s="13"/>
      <c r="Q23" s="14"/>
      <c r="R23" s="14"/>
      <c r="S23" s="14"/>
      <c r="T23" s="14"/>
      <c r="U23" s="14"/>
      <c r="V23" s="14"/>
      <c r="W23" s="14"/>
      <c r="X23" s="14"/>
      <c r="Y23" s="14"/>
    </row>
    <row r="24" spans="16:27">
      <c r="P24" s="13"/>
      <c r="Q24" s="14"/>
      <c r="R24" s="14"/>
      <c r="S24" s="14"/>
      <c r="T24" s="14"/>
      <c r="U24" s="14"/>
      <c r="V24" s="14"/>
      <c r="W24" s="14"/>
      <c r="X24" s="14"/>
      <c r="Y24" s="14"/>
    </row>
    <row r="25" spans="16:27">
      <c r="P25" s="13"/>
      <c r="Q25" s="14"/>
      <c r="R25" s="14"/>
      <c r="S25" s="14"/>
      <c r="T25" s="14"/>
      <c r="U25" s="14"/>
      <c r="V25" s="14"/>
      <c r="W25" s="14"/>
      <c r="X25" s="14"/>
      <c r="Y25" s="14"/>
    </row>
    <row r="27" spans="16:27"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6:27"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6:27"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6:27"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6:27"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3" s="12" customFormat="1"/>
    <row r="34" s="12" customFormat="1"/>
    <row r="35" s="12" customFormat="1"/>
    <row r="36" s="12" customFormat="1"/>
    <row r="37" s="12" customFormat="1"/>
    <row r="38" s="12" customFormat="1"/>
    <row r="39" s="12" customFormat="1"/>
    <row r="40" s="12" customFormat="1"/>
    <row r="41" s="12" customFormat="1"/>
    <row r="42" s="12" customFormat="1"/>
    <row r="43" s="12" customFormat="1"/>
    <row r="44" s="12" customFormat="1"/>
    <row r="45" s="12" customFormat="1"/>
    <row r="46" s="12" customFormat="1"/>
    <row r="47" s="12" customFormat="1"/>
    <row r="48" s="12" customFormat="1"/>
    <row r="53" spans="1:9">
      <c r="A53" s="13"/>
      <c r="B53" s="13"/>
      <c r="C53" s="13"/>
      <c r="D53" s="13"/>
    </row>
    <row r="54" spans="1:9">
      <c r="A54" s="13" t="s">
        <v>93</v>
      </c>
      <c r="B54" s="13">
        <v>2016</v>
      </c>
      <c r="C54" s="13">
        <v>2017</v>
      </c>
      <c r="D54" s="13">
        <v>2018</v>
      </c>
      <c r="E54" s="13">
        <v>2019</v>
      </c>
      <c r="F54" s="13">
        <v>2020</v>
      </c>
      <c r="G54" s="13">
        <v>2021</v>
      </c>
      <c r="H54" s="13">
        <v>2022</v>
      </c>
      <c r="I54" s="13">
        <v>2023</v>
      </c>
    </row>
    <row r="55" spans="1:9">
      <c r="A55" s="13" t="s">
        <v>94</v>
      </c>
      <c r="B55" s="13">
        <v>7.8</v>
      </c>
      <c r="C55" s="13">
        <v>6.9</v>
      </c>
      <c r="D55" s="13">
        <v>5.5</v>
      </c>
      <c r="E55" s="13">
        <v>5.4</v>
      </c>
      <c r="F55" s="12">
        <v>6</v>
      </c>
      <c r="G55" s="13">
        <v>5.6</v>
      </c>
      <c r="H55" s="13">
        <v>5.5</v>
      </c>
      <c r="I55" s="13">
        <v>4.5999999999999996</v>
      </c>
    </row>
    <row r="56" spans="1:9">
      <c r="A56" s="13" t="s">
        <v>46</v>
      </c>
      <c r="B56" s="13">
        <v>5.8</v>
      </c>
      <c r="C56" s="13">
        <v>5.7</v>
      </c>
      <c r="D56" s="13">
        <v>5.4</v>
      </c>
      <c r="E56" s="13">
        <v>5.6</v>
      </c>
      <c r="F56" s="12">
        <v>6.1</v>
      </c>
      <c r="G56" s="13">
        <v>6.7</v>
      </c>
      <c r="H56" s="13">
        <v>5.9</v>
      </c>
      <c r="I56" s="13">
        <v>5.0999999999999996</v>
      </c>
    </row>
    <row r="57" spans="1:9">
      <c r="A57" s="13" t="s">
        <v>47</v>
      </c>
      <c r="B57" s="13">
        <v>6.7</v>
      </c>
      <c r="C57" s="13">
        <v>6.9</v>
      </c>
      <c r="D57" s="13">
        <v>7</v>
      </c>
      <c r="E57" s="13">
        <v>6.6</v>
      </c>
      <c r="F57" s="12">
        <v>6.2</v>
      </c>
      <c r="G57" s="13">
        <v>6.1</v>
      </c>
      <c r="H57" s="13">
        <v>6.1</v>
      </c>
      <c r="I57" s="13">
        <v>5.9</v>
      </c>
    </row>
    <row r="58" spans="1:9">
      <c r="A58" s="13" t="s">
        <v>48</v>
      </c>
      <c r="B58" s="13">
        <v>7.5</v>
      </c>
      <c r="C58" s="13">
        <v>7.7</v>
      </c>
      <c r="D58" s="13">
        <v>6.9</v>
      </c>
      <c r="E58" s="13">
        <v>6.9</v>
      </c>
      <c r="F58" s="12">
        <v>7.2</v>
      </c>
      <c r="G58" s="13">
        <v>7</v>
      </c>
      <c r="H58" s="13">
        <v>6.5</v>
      </c>
      <c r="I58" s="13">
        <v>6.5</v>
      </c>
    </row>
    <row r="59" spans="1:9">
      <c r="A59" s="13" t="s">
        <v>95</v>
      </c>
      <c r="B59" s="13">
        <v>45.7</v>
      </c>
      <c r="C59" s="13">
        <v>45.4</v>
      </c>
      <c r="D59" s="13">
        <v>31.4</v>
      </c>
      <c r="E59" s="13">
        <v>41.3</v>
      </c>
      <c r="F59" s="12">
        <v>34.1</v>
      </c>
      <c r="G59" s="13">
        <v>34.299999999999997</v>
      </c>
      <c r="H59" s="13">
        <v>31.6</v>
      </c>
      <c r="I59" s="13">
        <v>29.7</v>
      </c>
    </row>
    <row r="60" spans="1:9">
      <c r="A60" s="13" t="s">
        <v>96</v>
      </c>
      <c r="B60" s="13">
        <v>35.799999999999997</v>
      </c>
      <c r="C60" s="13">
        <v>32.6</v>
      </c>
      <c r="D60" s="13">
        <v>31.3</v>
      </c>
      <c r="E60" s="13">
        <v>33</v>
      </c>
      <c r="F60" s="12">
        <v>31.8</v>
      </c>
      <c r="G60" s="13">
        <v>32.1</v>
      </c>
      <c r="H60" s="13">
        <v>31.1</v>
      </c>
      <c r="I60" s="13">
        <v>28.4</v>
      </c>
    </row>
    <row r="61" spans="1:9">
      <c r="A61" s="13"/>
      <c r="B61" s="13"/>
      <c r="C61" s="13"/>
      <c r="D61" s="13"/>
    </row>
    <row r="63" spans="1:9">
      <c r="A63" s="13"/>
      <c r="B63" s="13"/>
      <c r="C63" s="13"/>
      <c r="D63" s="13"/>
    </row>
    <row r="64" spans="1:9">
      <c r="A64" s="13" t="s">
        <v>93</v>
      </c>
      <c r="B64" s="13">
        <v>2016</v>
      </c>
      <c r="C64" s="13">
        <v>2017</v>
      </c>
      <c r="D64" s="13">
        <v>2018</v>
      </c>
      <c r="E64" s="13">
        <v>2019</v>
      </c>
      <c r="F64" s="13">
        <v>2020</v>
      </c>
      <c r="G64" s="13">
        <v>2021</v>
      </c>
      <c r="H64" s="13">
        <v>2022</v>
      </c>
      <c r="I64" s="13">
        <v>2023</v>
      </c>
    </row>
    <row r="65" spans="1:9">
      <c r="A65" s="13" t="s">
        <v>94</v>
      </c>
      <c r="B65" s="13">
        <v>6.2</v>
      </c>
      <c r="C65" s="13">
        <v>5.4</v>
      </c>
      <c r="D65" s="13">
        <v>4.5</v>
      </c>
      <c r="E65" s="13">
        <v>4.4000000000000004</v>
      </c>
      <c r="F65" s="12">
        <v>4.5999999999999996</v>
      </c>
      <c r="G65" s="13">
        <v>4.9000000000000004</v>
      </c>
      <c r="H65" s="13">
        <v>4.5</v>
      </c>
      <c r="I65" s="13">
        <v>4</v>
      </c>
    </row>
    <row r="66" spans="1:9">
      <c r="A66" s="13" t="s">
        <v>46</v>
      </c>
      <c r="B66" s="13">
        <v>5.0999999999999996</v>
      </c>
      <c r="C66" s="13">
        <v>5.2</v>
      </c>
      <c r="D66" s="13">
        <v>4.5</v>
      </c>
      <c r="E66" s="13">
        <v>4.4000000000000004</v>
      </c>
      <c r="F66" s="12">
        <v>4.5</v>
      </c>
      <c r="G66" s="13">
        <v>4.8</v>
      </c>
      <c r="H66" s="13">
        <v>4.5</v>
      </c>
      <c r="I66" s="13">
        <v>4</v>
      </c>
    </row>
    <row r="67" spans="1:9">
      <c r="A67" s="13" t="s">
        <v>47</v>
      </c>
      <c r="B67" s="13">
        <v>5.7</v>
      </c>
      <c r="C67" s="13">
        <v>5.8</v>
      </c>
      <c r="D67" s="13">
        <v>5.8</v>
      </c>
      <c r="E67" s="13">
        <v>5.3</v>
      </c>
      <c r="F67" s="12">
        <v>4.8</v>
      </c>
      <c r="G67" s="13">
        <v>4.5</v>
      </c>
      <c r="H67" s="13">
        <v>4.5999999999999996</v>
      </c>
      <c r="I67" s="13">
        <v>4.5999999999999996</v>
      </c>
    </row>
    <row r="68" spans="1:9">
      <c r="A68" s="13" t="s">
        <v>48</v>
      </c>
      <c r="B68" s="13">
        <v>6.4</v>
      </c>
      <c r="C68" s="13">
        <v>6.4</v>
      </c>
      <c r="D68" s="13">
        <v>5.5</v>
      </c>
      <c r="E68" s="13">
        <v>5.3</v>
      </c>
      <c r="F68" s="12">
        <v>5.2</v>
      </c>
      <c r="G68" s="13">
        <v>5.2</v>
      </c>
      <c r="H68" s="13">
        <v>4.9000000000000004</v>
      </c>
      <c r="I68" s="13">
        <v>5</v>
      </c>
    </row>
    <row r="69" spans="1:9">
      <c r="A69" s="13" t="s">
        <v>95</v>
      </c>
      <c r="B69" s="13">
        <v>10.7</v>
      </c>
      <c r="C69" s="13">
        <v>9</v>
      </c>
      <c r="D69" s="13">
        <v>8.3000000000000007</v>
      </c>
      <c r="E69" s="13">
        <v>8.4</v>
      </c>
      <c r="F69" s="12">
        <v>7.3</v>
      </c>
      <c r="G69" s="13">
        <v>7.7</v>
      </c>
      <c r="H69" s="13">
        <v>7.6</v>
      </c>
      <c r="I69" s="13">
        <v>8.3000000000000007</v>
      </c>
    </row>
    <row r="70" spans="1:9">
      <c r="A70" s="13" t="s">
        <v>96</v>
      </c>
      <c r="B70" s="13">
        <v>9.1</v>
      </c>
      <c r="C70" s="13">
        <v>8.6999999999999993</v>
      </c>
      <c r="D70" s="13">
        <v>8</v>
      </c>
      <c r="E70" s="13">
        <v>7.7</v>
      </c>
      <c r="F70" s="12">
        <v>7.3</v>
      </c>
      <c r="G70" s="13">
        <v>7.7</v>
      </c>
      <c r="H70" s="13">
        <v>7.6</v>
      </c>
      <c r="I70" s="13">
        <v>7.5</v>
      </c>
    </row>
    <row r="71" spans="1:9">
      <c r="A71" s="13"/>
      <c r="B71" s="13"/>
      <c r="C71" s="13"/>
      <c r="D71" s="13"/>
    </row>
    <row r="78" spans="1:9">
      <c r="A78" s="12" t="s">
        <v>1</v>
      </c>
    </row>
    <row r="79" spans="1:9">
      <c r="A79" s="12" t="s">
        <v>97</v>
      </c>
    </row>
    <row r="80" spans="1:9">
      <c r="B80" s="12" t="s">
        <v>63</v>
      </c>
      <c r="C80" s="12" t="s">
        <v>64</v>
      </c>
      <c r="D80" s="12" t="s">
        <v>65</v>
      </c>
      <c r="E80" s="12" t="s">
        <v>66</v>
      </c>
      <c r="F80" s="12" t="s">
        <v>67</v>
      </c>
    </row>
    <row r="81" spans="1:6">
      <c r="A81" s="13">
        <v>2016</v>
      </c>
      <c r="B81" s="13">
        <v>156</v>
      </c>
      <c r="C81" s="13">
        <v>758</v>
      </c>
      <c r="D81" s="15">
        <v>1547</v>
      </c>
      <c r="E81" s="15">
        <v>2605</v>
      </c>
      <c r="F81" s="15">
        <v>5718</v>
      </c>
    </row>
    <row r="82" spans="1:6">
      <c r="A82" s="13">
        <v>2017</v>
      </c>
      <c r="B82" s="13">
        <v>175</v>
      </c>
      <c r="C82" s="13">
        <v>825</v>
      </c>
      <c r="D82" s="15">
        <v>1635</v>
      </c>
      <c r="E82" s="15">
        <v>2703</v>
      </c>
      <c r="F82" s="15">
        <v>5950</v>
      </c>
    </row>
    <row r="83" spans="1:6">
      <c r="A83" s="13">
        <v>2018</v>
      </c>
      <c r="B83" s="13">
        <v>197</v>
      </c>
      <c r="C83" s="13">
        <v>863</v>
      </c>
      <c r="D83" s="15">
        <v>1722</v>
      </c>
      <c r="E83" s="15">
        <v>2826</v>
      </c>
      <c r="F83" s="15">
        <v>6051</v>
      </c>
    </row>
    <row r="84" spans="1:6">
      <c r="A84" s="13">
        <v>2019</v>
      </c>
      <c r="B84" s="13">
        <v>182</v>
      </c>
      <c r="C84" s="13">
        <v>869</v>
      </c>
      <c r="D84" s="15">
        <v>1734</v>
      </c>
      <c r="E84" s="15">
        <v>2910</v>
      </c>
      <c r="F84" s="15">
        <v>6140</v>
      </c>
    </row>
    <row r="85" spans="1:6">
      <c r="A85" s="13">
        <v>2020</v>
      </c>
      <c r="B85" s="13">
        <v>213</v>
      </c>
      <c r="C85" s="13">
        <v>920</v>
      </c>
      <c r="D85" s="15">
        <v>1828</v>
      </c>
      <c r="E85" s="15">
        <v>3060</v>
      </c>
      <c r="F85" s="15">
        <v>6501</v>
      </c>
    </row>
    <row r="86" spans="1:6">
      <c r="A86" s="13">
        <v>2021</v>
      </c>
      <c r="B86" s="13">
        <v>227</v>
      </c>
      <c r="C86" s="15">
        <v>1014</v>
      </c>
      <c r="D86" s="15">
        <v>1980</v>
      </c>
      <c r="E86" s="15">
        <v>3304</v>
      </c>
      <c r="F86" s="15">
        <v>7142</v>
      </c>
    </row>
    <row r="87" spans="1:6">
      <c r="A87" s="13">
        <v>2022</v>
      </c>
      <c r="B87" s="13">
        <v>253</v>
      </c>
      <c r="C87" s="15">
        <v>1157</v>
      </c>
      <c r="D87" s="15">
        <v>2270</v>
      </c>
      <c r="E87" s="15">
        <v>3611</v>
      </c>
      <c r="F87" s="15">
        <v>7657</v>
      </c>
    </row>
    <row r="88" spans="1:6">
      <c r="A88" s="13">
        <v>2023</v>
      </c>
      <c r="B88" s="13">
        <v>300</v>
      </c>
      <c r="C88" s="15">
        <v>1278</v>
      </c>
      <c r="D88" s="15">
        <v>2522</v>
      </c>
      <c r="E88" s="15">
        <v>4151</v>
      </c>
      <c r="F88" s="15">
        <v>8572</v>
      </c>
    </row>
    <row r="89" spans="1:6">
      <c r="A89" s="13">
        <v>2024</v>
      </c>
      <c r="B89" s="13">
        <v>315</v>
      </c>
      <c r="C89" s="15">
        <v>1377</v>
      </c>
      <c r="D89" s="15">
        <v>2637</v>
      </c>
      <c r="E89" s="15">
        <v>4220</v>
      </c>
      <c r="F89" s="15">
        <v>9052</v>
      </c>
    </row>
    <row r="91" spans="1:6">
      <c r="A91" s="12" t="s">
        <v>7</v>
      </c>
    </row>
    <row r="92" spans="1:6">
      <c r="A92" s="12" t="s">
        <v>97</v>
      </c>
    </row>
    <row r="93" spans="1:6">
      <c r="B93" s="12" t="s">
        <v>63</v>
      </c>
      <c r="C93" s="12" t="s">
        <v>64</v>
      </c>
      <c r="D93" s="12" t="s">
        <v>65</v>
      </c>
      <c r="E93" s="12" t="s">
        <v>66</v>
      </c>
      <c r="F93" s="12" t="s">
        <v>67</v>
      </c>
    </row>
    <row r="94" spans="1:6">
      <c r="A94" s="13">
        <v>2016</v>
      </c>
      <c r="B94" s="13">
        <v>600</v>
      </c>
      <c r="C94" s="15">
        <v>1220</v>
      </c>
      <c r="D94" s="15">
        <v>1973</v>
      </c>
      <c r="E94" s="15">
        <v>2933</v>
      </c>
      <c r="F94" s="15">
        <v>5594</v>
      </c>
    </row>
    <row r="95" spans="1:6">
      <c r="A95" s="13">
        <v>2017</v>
      </c>
      <c r="B95" s="13">
        <v>647</v>
      </c>
      <c r="C95" s="15">
        <v>1307</v>
      </c>
      <c r="D95" s="15">
        <v>2047</v>
      </c>
      <c r="E95" s="15">
        <v>3029</v>
      </c>
      <c r="F95" s="15">
        <v>5741</v>
      </c>
    </row>
    <row r="96" spans="1:6">
      <c r="A96" s="13">
        <v>2018</v>
      </c>
      <c r="B96" s="13">
        <v>724</v>
      </c>
      <c r="C96" s="15">
        <v>1386</v>
      </c>
      <c r="D96" s="15">
        <v>2162</v>
      </c>
      <c r="E96" s="15">
        <v>3138</v>
      </c>
      <c r="F96" s="15">
        <v>5835</v>
      </c>
    </row>
    <row r="97" spans="1:6">
      <c r="A97" s="13">
        <v>2019</v>
      </c>
      <c r="B97" s="13">
        <v>764</v>
      </c>
      <c r="C97" s="15">
        <v>1454</v>
      </c>
      <c r="D97" s="15">
        <v>2242</v>
      </c>
      <c r="E97" s="15">
        <v>3283</v>
      </c>
      <c r="F97" s="15">
        <v>5942</v>
      </c>
    </row>
    <row r="98" spans="1:6">
      <c r="A98" s="13">
        <v>2020</v>
      </c>
      <c r="B98" s="13">
        <v>894</v>
      </c>
      <c r="C98" s="15">
        <v>1596</v>
      </c>
      <c r="D98" s="15">
        <v>2420</v>
      </c>
      <c r="E98" s="15">
        <v>3505</v>
      </c>
      <c r="F98" s="15">
        <v>6310</v>
      </c>
    </row>
    <row r="99" spans="1:6">
      <c r="A99" s="13">
        <v>2021</v>
      </c>
      <c r="B99" s="13">
        <v>902</v>
      </c>
      <c r="C99" s="15">
        <v>1724</v>
      </c>
      <c r="D99" s="15">
        <v>2579</v>
      </c>
      <c r="E99" s="15">
        <v>3732</v>
      </c>
      <c r="F99" s="15">
        <v>6806</v>
      </c>
    </row>
    <row r="100" spans="1:6">
      <c r="A100" s="13">
        <v>2022</v>
      </c>
      <c r="B100" s="13">
        <v>963</v>
      </c>
      <c r="C100" s="15">
        <v>1895</v>
      </c>
      <c r="D100" s="15">
        <v>2852</v>
      </c>
      <c r="E100" s="15">
        <v>4028</v>
      </c>
      <c r="F100" s="15">
        <v>7237</v>
      </c>
    </row>
    <row r="101" spans="1:6">
      <c r="A101" s="13">
        <v>2023</v>
      </c>
      <c r="B101" s="15">
        <v>1046</v>
      </c>
      <c r="C101" s="15">
        <v>2058</v>
      </c>
      <c r="D101" s="15">
        <v>3162</v>
      </c>
      <c r="E101" s="15">
        <v>4522</v>
      </c>
      <c r="F101" s="15">
        <v>8038</v>
      </c>
    </row>
    <row r="102" spans="1:6">
      <c r="A102" s="13">
        <v>2024</v>
      </c>
      <c r="B102" s="15">
        <v>1149</v>
      </c>
      <c r="C102" s="15">
        <v>2179</v>
      </c>
      <c r="D102" s="15">
        <v>3288</v>
      </c>
      <c r="E102" s="15">
        <v>4663</v>
      </c>
      <c r="F102" s="15">
        <v>8468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5054-E952-40B0-AAAA-8E72D53730AF}">
  <dimension ref="A1:F42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6">
      <c r="A1" s="4" t="s">
        <v>142</v>
      </c>
    </row>
    <row r="3" spans="1:6">
      <c r="F3" s="1" t="s">
        <v>124</v>
      </c>
    </row>
    <row r="4" spans="1:6">
      <c r="A4" s="20" t="s">
        <v>129</v>
      </c>
      <c r="B4" s="20" t="s">
        <v>88</v>
      </c>
      <c r="C4" s="20" t="s">
        <v>89</v>
      </c>
      <c r="D4" s="20" t="s">
        <v>90</v>
      </c>
      <c r="E4" s="20" t="s">
        <v>91</v>
      </c>
      <c r="F4" s="20" t="s">
        <v>92</v>
      </c>
    </row>
    <row r="5" spans="1:6">
      <c r="A5" s="20">
        <v>2016</v>
      </c>
      <c r="B5" s="21">
        <v>49.8</v>
      </c>
      <c r="C5" s="21">
        <v>73</v>
      </c>
      <c r="D5" s="21">
        <v>88.8</v>
      </c>
      <c r="E5" s="21">
        <v>117.5</v>
      </c>
      <c r="F5" s="21">
        <v>170.6</v>
      </c>
    </row>
    <row r="6" spans="1:6">
      <c r="A6" s="20">
        <v>2020</v>
      </c>
      <c r="B6" s="21">
        <v>40.6</v>
      </c>
      <c r="C6" s="21">
        <v>63.3</v>
      </c>
      <c r="D6" s="21">
        <v>87.6</v>
      </c>
      <c r="E6" s="21">
        <v>120</v>
      </c>
      <c r="F6" s="21">
        <v>171.8</v>
      </c>
    </row>
    <row r="7" spans="1:6">
      <c r="A7" s="20">
        <v>2024</v>
      </c>
      <c r="B7" s="21">
        <v>37.200000000000003</v>
      </c>
      <c r="C7" s="21">
        <v>60.1</v>
      </c>
      <c r="D7" s="21">
        <v>87.6</v>
      </c>
      <c r="E7" s="21">
        <v>118.3</v>
      </c>
      <c r="F7" s="21">
        <v>159.6</v>
      </c>
    </row>
    <row r="9" spans="1:6">
      <c r="A9" s="4" t="s">
        <v>139</v>
      </c>
    </row>
    <row r="10" spans="1:6">
      <c r="A10" s="4" t="s">
        <v>140</v>
      </c>
    </row>
    <row r="11" spans="1:6">
      <c r="A11" s="4" t="s">
        <v>141</v>
      </c>
    </row>
    <row r="12" spans="1:6">
      <c r="A12" s="4" t="s">
        <v>121</v>
      </c>
    </row>
    <row r="42" s="4" customFormat="1"/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355A-97D4-491E-BE28-D536CC6A0724}">
  <dimension ref="A1:H12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8">
      <c r="A1" s="4" t="s">
        <v>145</v>
      </c>
    </row>
    <row r="3" spans="1:8">
      <c r="H3" s="1" t="s">
        <v>124</v>
      </c>
    </row>
    <row r="4" spans="1:8" ht="32">
      <c r="A4" s="20" t="s">
        <v>129</v>
      </c>
      <c r="B4" s="20" t="s">
        <v>80</v>
      </c>
      <c r="C4" s="20" t="s">
        <v>81</v>
      </c>
      <c r="D4" s="20" t="s">
        <v>82</v>
      </c>
      <c r="E4" s="20" t="s">
        <v>99</v>
      </c>
      <c r="F4" s="20" t="s">
        <v>98</v>
      </c>
      <c r="G4" s="20" t="s">
        <v>83</v>
      </c>
      <c r="H4" s="20" t="s">
        <v>84</v>
      </c>
    </row>
    <row r="5" spans="1:8">
      <c r="A5" s="20">
        <v>2016</v>
      </c>
      <c r="B5" s="21">
        <v>168</v>
      </c>
      <c r="C5" s="21">
        <v>125.9</v>
      </c>
      <c r="D5" s="21">
        <v>119.3</v>
      </c>
      <c r="E5" s="21">
        <v>88.4</v>
      </c>
      <c r="F5" s="21">
        <v>90.3</v>
      </c>
      <c r="G5" s="21">
        <v>74.5</v>
      </c>
      <c r="H5" s="21">
        <v>64.5</v>
      </c>
    </row>
    <row r="6" spans="1:8">
      <c r="A6" s="20">
        <v>2020</v>
      </c>
      <c r="B6" s="21">
        <v>155.6</v>
      </c>
      <c r="C6" s="21">
        <v>138.30000000000001</v>
      </c>
      <c r="D6" s="21">
        <v>118.5</v>
      </c>
      <c r="E6" s="21">
        <v>87.7</v>
      </c>
      <c r="F6" s="21">
        <v>85</v>
      </c>
      <c r="G6" s="21">
        <v>62.7</v>
      </c>
      <c r="H6" s="21">
        <v>61.3</v>
      </c>
    </row>
    <row r="7" spans="1:8">
      <c r="A7" s="20">
        <v>2024</v>
      </c>
      <c r="B7" s="21">
        <v>166.9</v>
      </c>
      <c r="C7" s="21">
        <v>127.7</v>
      </c>
      <c r="D7" s="21">
        <v>116.4</v>
      </c>
      <c r="E7" s="21">
        <v>93.3</v>
      </c>
      <c r="F7" s="21">
        <v>87.2</v>
      </c>
      <c r="G7" s="21">
        <v>63.3</v>
      </c>
      <c r="H7" s="21">
        <v>57.9</v>
      </c>
    </row>
    <row r="9" spans="1:8">
      <c r="A9" s="4" t="s">
        <v>143</v>
      </c>
    </row>
    <row r="10" spans="1:8">
      <c r="A10" s="4" t="s">
        <v>140</v>
      </c>
    </row>
    <row r="11" spans="1:8">
      <c r="A11" s="4" t="s">
        <v>144</v>
      </c>
    </row>
    <row r="12" spans="1:8">
      <c r="A12" s="4" t="s">
        <v>128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6096-B023-4775-A1D8-C20896711A4E}">
  <dimension ref="A1:F92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6">
      <c r="A1" s="4" t="s">
        <v>148</v>
      </c>
    </row>
    <row r="3" spans="1:6">
      <c r="F3" s="1" t="s">
        <v>124</v>
      </c>
    </row>
    <row r="4" spans="1:6" ht="32">
      <c r="A4" s="20" t="s">
        <v>129</v>
      </c>
      <c r="B4" s="20" t="s">
        <v>149</v>
      </c>
      <c r="C4" s="20" t="s">
        <v>85</v>
      </c>
      <c r="D4" s="20" t="s">
        <v>86</v>
      </c>
      <c r="E4" s="20" t="s">
        <v>100</v>
      </c>
      <c r="F4" s="20" t="s">
        <v>87</v>
      </c>
    </row>
    <row r="5" spans="1:6">
      <c r="A5" s="20">
        <v>2016</v>
      </c>
      <c r="B5" s="21">
        <v>149.6</v>
      </c>
      <c r="C5" s="21">
        <v>109.1</v>
      </c>
      <c r="D5" s="21">
        <v>81.099999999999994</v>
      </c>
      <c r="E5" s="21">
        <v>58.1</v>
      </c>
      <c r="F5" s="21">
        <v>95.6</v>
      </c>
    </row>
    <row r="6" spans="1:6">
      <c r="A6" s="20">
        <v>2020</v>
      </c>
      <c r="B6" s="21">
        <v>148.69999999999999</v>
      </c>
      <c r="C6" s="21">
        <v>111.6</v>
      </c>
      <c r="D6" s="21">
        <v>75.599999999999994</v>
      </c>
      <c r="E6" s="21">
        <v>58.3</v>
      </c>
      <c r="F6" s="21">
        <v>86.8</v>
      </c>
    </row>
    <row r="7" spans="1:6">
      <c r="A7" s="20">
        <v>2024</v>
      </c>
      <c r="B7" s="21">
        <v>131.80000000000001</v>
      </c>
      <c r="C7" s="21">
        <v>112.1</v>
      </c>
      <c r="D7" s="21">
        <v>79.5</v>
      </c>
      <c r="E7" s="21">
        <v>55</v>
      </c>
      <c r="F7" s="21">
        <v>81.3</v>
      </c>
    </row>
    <row r="9" spans="1:6">
      <c r="A9" s="4" t="s">
        <v>146</v>
      </c>
    </row>
    <row r="10" spans="1:6">
      <c r="A10" s="4" t="s">
        <v>140</v>
      </c>
    </row>
    <row r="11" spans="1:6">
      <c r="A11" s="4" t="s">
        <v>147</v>
      </c>
    </row>
    <row r="12" spans="1:6">
      <c r="A12" s="4" t="s">
        <v>128</v>
      </c>
    </row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  <row r="31" s="4" customFormat="1"/>
    <row r="32" s="4" customFormat="1"/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  <row r="43" s="4" customFormat="1"/>
    <row r="44" s="4" customFormat="1"/>
    <row r="45" s="4" customFormat="1"/>
    <row r="46" s="4" customFormat="1"/>
    <row r="47" s="4" customFormat="1"/>
    <row r="48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8BB-CBDB-4B1A-8F42-0D85CCE70F8D}">
  <dimension ref="A1:F13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6">
      <c r="A1" s="4" t="s">
        <v>150</v>
      </c>
    </row>
    <row r="3" spans="1:6">
      <c r="F3" s="1" t="s">
        <v>124</v>
      </c>
    </row>
    <row r="4" spans="1:6" ht="32">
      <c r="A4" s="19"/>
      <c r="B4" s="20" t="s">
        <v>104</v>
      </c>
      <c r="C4" s="20" t="s">
        <v>51</v>
      </c>
      <c r="D4" s="20" t="s">
        <v>101</v>
      </c>
      <c r="E4" s="20" t="s">
        <v>53</v>
      </c>
      <c r="F4" s="20" t="s">
        <v>54</v>
      </c>
    </row>
    <row r="5" spans="1:6">
      <c r="A5" s="19" t="s">
        <v>102</v>
      </c>
      <c r="B5" s="5">
        <v>63.915443651541672</v>
      </c>
      <c r="C5" s="5">
        <v>17.49023831964454</v>
      </c>
      <c r="D5" s="5">
        <v>8.2671334320721677</v>
      </c>
      <c r="E5" s="5">
        <v>8.8864952201427219</v>
      </c>
      <c r="F5" s="5">
        <v>1.4541537632960819</v>
      </c>
    </row>
    <row r="6" spans="1:6">
      <c r="A6" s="19" t="s">
        <v>103</v>
      </c>
      <c r="B6" s="5">
        <v>25.837628865979383</v>
      </c>
      <c r="C6" s="5">
        <v>9.213917525773196</v>
      </c>
      <c r="D6" s="5">
        <v>8.8273195876288657</v>
      </c>
      <c r="E6" s="5">
        <v>43.75</v>
      </c>
      <c r="F6" s="5">
        <v>12.371134020618557</v>
      </c>
    </row>
    <row r="7" spans="1:6">
      <c r="A7" s="19" t="s">
        <v>3</v>
      </c>
      <c r="B7" s="5">
        <v>52.509760178471829</v>
      </c>
      <c r="C7" s="5">
        <v>17.568321249302844</v>
      </c>
      <c r="D7" s="5">
        <v>7.5571667596207464</v>
      </c>
      <c r="E7" s="5">
        <v>18.37702175125488</v>
      </c>
      <c r="F7" s="5">
        <v>3.9598438371444509</v>
      </c>
    </row>
    <row r="8" spans="1:6">
      <c r="A8" s="19" t="s">
        <v>4</v>
      </c>
      <c r="B8" s="5">
        <v>60</v>
      </c>
      <c r="C8" s="5">
        <v>20.189491817398793</v>
      </c>
      <c r="D8" s="5">
        <v>6.3738156761412572</v>
      </c>
      <c r="E8" s="5">
        <v>11.782945736434108</v>
      </c>
      <c r="F8" s="5">
        <v>1.6537467700258397</v>
      </c>
    </row>
    <row r="9" spans="1:6">
      <c r="A9" s="19" t="s">
        <v>5</v>
      </c>
      <c r="B9" s="5">
        <v>67.310952865378098</v>
      </c>
      <c r="C9" s="5">
        <v>18.175652763648696</v>
      </c>
      <c r="D9" s="5">
        <v>6.3298293206736744</v>
      </c>
      <c r="E9" s="5">
        <v>7.4827625183678084</v>
      </c>
      <c r="F9" s="5">
        <v>0.70080253193172826</v>
      </c>
    </row>
    <row r="10" spans="1:6">
      <c r="A10" s="19" t="s">
        <v>6</v>
      </c>
      <c r="B10" s="5">
        <v>69.246741261967941</v>
      </c>
      <c r="C10" s="5">
        <v>16.968508478486559</v>
      </c>
      <c r="D10" s="5">
        <v>9.9723151459222521</v>
      </c>
      <c r="E10" s="5">
        <v>3.5413542507786366</v>
      </c>
      <c r="F10" s="5">
        <v>0.2710808628446188</v>
      </c>
    </row>
    <row r="12" spans="1:6">
      <c r="A12" s="4" t="s">
        <v>151</v>
      </c>
    </row>
    <row r="13" spans="1:6">
      <c r="A13" s="4" t="s">
        <v>121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DE6C-71DF-4BF7-96B1-7C4A590E35FB}">
  <dimension ref="A1:G14"/>
  <sheetViews>
    <sheetView zoomScaleNormal="100" workbookViewId="0"/>
  </sheetViews>
  <sheetFormatPr defaultColWidth="10.6328125" defaultRowHeight="16"/>
  <cols>
    <col min="1" max="1" width="12.6328125" style="4" customWidth="1"/>
    <col min="2" max="16384" width="10.6328125" style="4"/>
  </cols>
  <sheetData>
    <row r="1" spans="1:7">
      <c r="A1" s="4" t="s">
        <v>154</v>
      </c>
    </row>
    <row r="3" spans="1:7">
      <c r="G3" s="1" t="s">
        <v>152</v>
      </c>
    </row>
    <row r="4" spans="1:7">
      <c r="A4" s="32"/>
      <c r="B4" s="32" t="s">
        <v>55</v>
      </c>
      <c r="C4" s="32" t="s">
        <v>56</v>
      </c>
      <c r="D4" s="32"/>
      <c r="E4" s="32"/>
      <c r="F4" s="32"/>
      <c r="G4" s="32"/>
    </row>
    <row r="5" spans="1:7">
      <c r="A5" s="32"/>
      <c r="B5" s="32"/>
      <c r="C5" s="20" t="s">
        <v>2</v>
      </c>
      <c r="D5" s="20" t="s">
        <v>3</v>
      </c>
      <c r="E5" s="20" t="s">
        <v>4</v>
      </c>
      <c r="F5" s="20" t="s">
        <v>5</v>
      </c>
      <c r="G5" s="20" t="s">
        <v>6</v>
      </c>
    </row>
    <row r="6" spans="1:7">
      <c r="A6" s="24" t="s">
        <v>50</v>
      </c>
      <c r="B6" s="26">
        <v>4747</v>
      </c>
      <c r="C6" s="22">
        <v>401</v>
      </c>
      <c r="D6" s="26">
        <v>1883</v>
      </c>
      <c r="E6" s="26">
        <v>3483</v>
      </c>
      <c r="F6" s="26">
        <v>5955</v>
      </c>
      <c r="G6" s="26">
        <v>12006</v>
      </c>
    </row>
    <row r="7" spans="1:7">
      <c r="A7" s="24" t="s">
        <v>51</v>
      </c>
      <c r="B7" s="26">
        <v>1299</v>
      </c>
      <c r="C7" s="22">
        <v>143</v>
      </c>
      <c r="D7" s="22">
        <v>630</v>
      </c>
      <c r="E7" s="26">
        <v>1172</v>
      </c>
      <c r="F7" s="26">
        <v>1608</v>
      </c>
      <c r="G7" s="26">
        <v>2942</v>
      </c>
    </row>
    <row r="8" spans="1:7">
      <c r="A8" s="24" t="s">
        <v>52</v>
      </c>
      <c r="B8" s="22">
        <v>614</v>
      </c>
      <c r="C8" s="22">
        <v>137</v>
      </c>
      <c r="D8" s="22">
        <v>271</v>
      </c>
      <c r="E8" s="22">
        <v>370</v>
      </c>
      <c r="F8" s="22">
        <v>560</v>
      </c>
      <c r="G8" s="26">
        <v>1729</v>
      </c>
    </row>
    <row r="9" spans="1:7">
      <c r="A9" s="24" t="s">
        <v>53</v>
      </c>
      <c r="B9" s="22">
        <v>660</v>
      </c>
      <c r="C9" s="22">
        <v>679</v>
      </c>
      <c r="D9" s="22">
        <v>659</v>
      </c>
      <c r="E9" s="22">
        <v>684</v>
      </c>
      <c r="F9" s="22">
        <v>662</v>
      </c>
      <c r="G9" s="22">
        <v>614</v>
      </c>
    </row>
    <row r="10" spans="1:7">
      <c r="A10" s="24" t="s">
        <v>54</v>
      </c>
      <c r="B10" s="22">
        <v>108</v>
      </c>
      <c r="C10" s="22">
        <v>192</v>
      </c>
      <c r="D10" s="22">
        <v>142</v>
      </c>
      <c r="E10" s="22">
        <v>96</v>
      </c>
      <c r="F10" s="22">
        <v>62</v>
      </c>
      <c r="G10" s="22">
        <v>47</v>
      </c>
    </row>
    <row r="11" spans="1:7">
      <c r="A11" s="24" t="s">
        <v>57</v>
      </c>
      <c r="B11" s="26">
        <v>7427</v>
      </c>
      <c r="C11" s="26">
        <v>1552</v>
      </c>
      <c r="D11" s="26">
        <v>3586</v>
      </c>
      <c r="E11" s="26">
        <v>5805</v>
      </c>
      <c r="F11" s="26">
        <v>8847</v>
      </c>
      <c r="G11" s="26">
        <v>17338</v>
      </c>
    </row>
    <row r="13" spans="1:7">
      <c r="A13" s="4" t="s">
        <v>153</v>
      </c>
    </row>
    <row r="14" spans="1:7">
      <c r="A14" s="4" t="s">
        <v>128</v>
      </c>
    </row>
  </sheetData>
  <mergeCells count="3">
    <mergeCell ref="A4:A5"/>
    <mergeCell ref="B4:B5"/>
    <mergeCell ref="C4:G4"/>
  </mergeCells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C788-4C3C-410D-A923-3B31F298336F}">
  <dimension ref="A1:L12"/>
  <sheetViews>
    <sheetView zoomScaleNormal="100" workbookViewId="0"/>
  </sheetViews>
  <sheetFormatPr defaultColWidth="7.6328125" defaultRowHeight="16"/>
  <cols>
    <col min="1" max="16384" width="7.6328125" style="4"/>
  </cols>
  <sheetData>
    <row r="1" spans="1:12">
      <c r="A1" s="4" t="s">
        <v>155</v>
      </c>
    </row>
    <row r="3" spans="1:12">
      <c r="A3" s="32" t="s">
        <v>156</v>
      </c>
      <c r="B3" s="32" t="s">
        <v>58</v>
      </c>
      <c r="C3" s="32"/>
      <c r="D3" s="32"/>
      <c r="E3" s="32"/>
      <c r="F3" s="32"/>
      <c r="G3" s="32"/>
      <c r="H3" s="32" t="s">
        <v>59</v>
      </c>
      <c r="I3" s="32"/>
      <c r="J3" s="32"/>
      <c r="K3" s="32"/>
      <c r="L3" s="32"/>
    </row>
    <row r="4" spans="1:12" ht="64">
      <c r="A4" s="32"/>
      <c r="B4" s="20" t="s">
        <v>60</v>
      </c>
      <c r="C4" s="20" t="s">
        <v>157</v>
      </c>
      <c r="D4" s="20" t="s">
        <v>158</v>
      </c>
      <c r="E4" s="20" t="s">
        <v>159</v>
      </c>
      <c r="F4" s="20" t="s">
        <v>160</v>
      </c>
      <c r="G4" s="20" t="s">
        <v>57</v>
      </c>
      <c r="H4" s="20" t="s">
        <v>60</v>
      </c>
      <c r="I4" s="20" t="s">
        <v>157</v>
      </c>
      <c r="J4" s="20" t="s">
        <v>158</v>
      </c>
      <c r="K4" s="20" t="s">
        <v>159</v>
      </c>
      <c r="L4" s="20" t="s">
        <v>160</v>
      </c>
    </row>
    <row r="5" spans="1:12">
      <c r="A5" s="24" t="s">
        <v>55</v>
      </c>
      <c r="B5" s="9">
        <v>472</v>
      </c>
      <c r="C5" s="9">
        <v>448</v>
      </c>
      <c r="D5" s="9">
        <v>158</v>
      </c>
      <c r="E5" s="9">
        <v>47</v>
      </c>
      <c r="F5" s="9">
        <v>271</v>
      </c>
      <c r="G5" s="27">
        <v>1396</v>
      </c>
      <c r="H5" s="23">
        <v>6.4</v>
      </c>
      <c r="I5" s="23">
        <v>6</v>
      </c>
      <c r="J5" s="23">
        <v>2.1</v>
      </c>
      <c r="K5" s="23">
        <v>0.6</v>
      </c>
      <c r="L5" s="23">
        <v>3.6</v>
      </c>
    </row>
    <row r="6" spans="1:12">
      <c r="A6" s="24" t="s">
        <v>2</v>
      </c>
      <c r="B6" s="9">
        <v>24</v>
      </c>
      <c r="C6" s="9">
        <v>46</v>
      </c>
      <c r="D6" s="9">
        <v>42</v>
      </c>
      <c r="E6" s="9">
        <v>10</v>
      </c>
      <c r="F6" s="9">
        <v>49</v>
      </c>
      <c r="G6" s="9">
        <v>170</v>
      </c>
      <c r="H6" s="23">
        <v>1.5</v>
      </c>
      <c r="I6" s="23">
        <v>3</v>
      </c>
      <c r="J6" s="23">
        <v>2.7</v>
      </c>
      <c r="K6" s="23">
        <v>0.6</v>
      </c>
      <c r="L6" s="23">
        <v>3.2</v>
      </c>
    </row>
    <row r="7" spans="1:12">
      <c r="A7" s="24" t="s">
        <v>3</v>
      </c>
      <c r="B7" s="9">
        <v>73</v>
      </c>
      <c r="C7" s="9">
        <v>182</v>
      </c>
      <c r="D7" s="9">
        <v>95</v>
      </c>
      <c r="E7" s="9">
        <v>19</v>
      </c>
      <c r="F7" s="9">
        <v>131</v>
      </c>
      <c r="G7" s="9">
        <v>501</v>
      </c>
      <c r="H7" s="23">
        <v>2</v>
      </c>
      <c r="I7" s="23">
        <v>5.0999999999999996</v>
      </c>
      <c r="J7" s="23">
        <v>2.6</v>
      </c>
      <c r="K7" s="23">
        <v>0.5</v>
      </c>
      <c r="L7" s="23">
        <v>3.7</v>
      </c>
    </row>
    <row r="8" spans="1:12">
      <c r="A8" s="24" t="s">
        <v>4</v>
      </c>
      <c r="B8" s="9">
        <v>172</v>
      </c>
      <c r="C8" s="9">
        <v>354</v>
      </c>
      <c r="D8" s="9">
        <v>143</v>
      </c>
      <c r="E8" s="9">
        <v>38</v>
      </c>
      <c r="F8" s="9">
        <v>240</v>
      </c>
      <c r="G8" s="9">
        <v>947</v>
      </c>
      <c r="H8" s="23">
        <v>3</v>
      </c>
      <c r="I8" s="23">
        <v>6.1</v>
      </c>
      <c r="J8" s="23">
        <v>2.5</v>
      </c>
      <c r="K8" s="23">
        <v>0.7</v>
      </c>
      <c r="L8" s="23">
        <v>4.0999999999999996</v>
      </c>
    </row>
    <row r="9" spans="1:12">
      <c r="A9" s="24" t="s">
        <v>5</v>
      </c>
      <c r="B9" s="9">
        <v>346</v>
      </c>
      <c r="C9" s="9">
        <v>573</v>
      </c>
      <c r="D9" s="9">
        <v>194</v>
      </c>
      <c r="E9" s="9">
        <v>59</v>
      </c>
      <c r="F9" s="9">
        <v>332</v>
      </c>
      <c r="G9" s="27">
        <v>1504</v>
      </c>
      <c r="H9" s="23">
        <v>3.9</v>
      </c>
      <c r="I9" s="23">
        <v>6.5</v>
      </c>
      <c r="J9" s="23">
        <v>2.2000000000000002</v>
      </c>
      <c r="K9" s="23">
        <v>0.7</v>
      </c>
      <c r="L9" s="23">
        <v>3.8</v>
      </c>
    </row>
    <row r="10" spans="1:12">
      <c r="A10" s="24" t="s">
        <v>6</v>
      </c>
      <c r="B10" s="27">
        <v>1742</v>
      </c>
      <c r="C10" s="27">
        <v>1084</v>
      </c>
      <c r="D10" s="9">
        <v>316</v>
      </c>
      <c r="E10" s="9">
        <v>108</v>
      </c>
      <c r="F10" s="9">
        <v>603</v>
      </c>
      <c r="G10" s="27">
        <v>3853</v>
      </c>
      <c r="H10" s="23">
        <v>10</v>
      </c>
      <c r="I10" s="23">
        <v>6.3</v>
      </c>
      <c r="J10" s="23">
        <v>1.8</v>
      </c>
      <c r="K10" s="23">
        <v>0.6</v>
      </c>
      <c r="L10" s="23">
        <v>3.5</v>
      </c>
    </row>
    <row r="12" spans="1:12">
      <c r="A12" s="4" t="s">
        <v>121</v>
      </c>
    </row>
  </sheetData>
  <mergeCells count="3">
    <mergeCell ref="A3:A4"/>
    <mergeCell ref="B3:G3"/>
    <mergeCell ref="H3:L3"/>
  </mergeCells>
  <phoneticPr fontId="2" type="noConversion"/>
  <pageMargins left="0.39370078740157483" right="0.39370078740157483" top="0.47244094488188981" bottom="0.47244094488188981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8CB2-8E52-4573-96E1-4BDB56BC47C5}">
  <dimension ref="A1:G15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7">
      <c r="A1" s="4" t="s">
        <v>161</v>
      </c>
    </row>
    <row r="3" spans="1:7">
      <c r="G3" s="1" t="s">
        <v>124</v>
      </c>
    </row>
    <row r="4" spans="1:7">
      <c r="A4" s="2" t="s">
        <v>129</v>
      </c>
      <c r="B4" s="2" t="s">
        <v>102</v>
      </c>
      <c r="C4" s="2" t="s">
        <v>103</v>
      </c>
      <c r="D4" s="2" t="s">
        <v>105</v>
      </c>
      <c r="E4" s="2" t="s">
        <v>4</v>
      </c>
      <c r="F4" s="2" t="s">
        <v>5</v>
      </c>
      <c r="G4" s="2" t="s">
        <v>6</v>
      </c>
    </row>
    <row r="5" spans="1:7">
      <c r="A5" s="2">
        <v>2016</v>
      </c>
      <c r="B5" s="3">
        <v>63.502722323048999</v>
      </c>
      <c r="C5" s="3">
        <v>30.935960591133004</v>
      </c>
      <c r="D5" s="3">
        <v>55.096525096525099</v>
      </c>
      <c r="E5" s="3">
        <v>61.519045433685179</v>
      </c>
      <c r="F5" s="3">
        <v>67.677224736048274</v>
      </c>
      <c r="G5" s="3">
        <v>66.262735412164247</v>
      </c>
    </row>
    <row r="6" spans="1:7">
      <c r="A6" s="2">
        <v>2017</v>
      </c>
      <c r="B6" s="3">
        <v>63.458856345885636</v>
      </c>
      <c r="C6" s="3">
        <v>30.532212885154063</v>
      </c>
      <c r="D6" s="3">
        <v>53.846153846153847</v>
      </c>
      <c r="E6" s="3">
        <v>60.4</v>
      </c>
      <c r="F6" s="3">
        <v>67.331199068684526</v>
      </c>
      <c r="G6" s="3">
        <v>66.996382963017638</v>
      </c>
    </row>
    <row r="7" spans="1:7">
      <c r="A7" s="2">
        <v>2018</v>
      </c>
      <c r="B7" s="3">
        <v>64.47817189631651</v>
      </c>
      <c r="C7" s="3">
        <v>26.720285969615727</v>
      </c>
      <c r="D7" s="3">
        <v>53.17143892714752</v>
      </c>
      <c r="E7" s="3">
        <v>60.237837837837837</v>
      </c>
      <c r="F7" s="3">
        <v>66.98448840187848</v>
      </c>
      <c r="G7" s="3">
        <v>69.955026838821993</v>
      </c>
    </row>
    <row r="8" spans="1:7">
      <c r="A8" s="2">
        <v>2019</v>
      </c>
      <c r="B8" s="3">
        <v>63.543412671806912</v>
      </c>
      <c r="C8" s="3">
        <v>24.57191780821918</v>
      </c>
      <c r="D8" s="3">
        <v>49.089610853266691</v>
      </c>
      <c r="E8" s="3">
        <v>59.433164128595607</v>
      </c>
      <c r="F8" s="3">
        <v>66.815206795710907</v>
      </c>
      <c r="G8" s="3">
        <v>69.419946941994695</v>
      </c>
    </row>
    <row r="9" spans="1:7">
      <c r="A9" s="2">
        <v>2020</v>
      </c>
      <c r="B9" s="3">
        <v>62.378640776699022</v>
      </c>
      <c r="C9" s="3">
        <v>23.363774733637747</v>
      </c>
      <c r="D9" s="3">
        <v>48.334443704197199</v>
      </c>
      <c r="E9" s="3">
        <v>57.884028484231941</v>
      </c>
      <c r="F9" s="3">
        <v>66.229552521292419</v>
      </c>
      <c r="G9" s="3">
        <v>68.463101829140101</v>
      </c>
    </row>
    <row r="10" spans="1:7">
      <c r="A10" s="2">
        <v>2021</v>
      </c>
      <c r="B10" s="3">
        <v>63.755795981452856</v>
      </c>
      <c r="C10" s="3">
        <v>25.686711210096512</v>
      </c>
      <c r="D10" s="3">
        <v>49.792531120331951</v>
      </c>
      <c r="E10" s="3">
        <v>59.726027397260275</v>
      </c>
      <c r="F10" s="3">
        <v>66.679601603932227</v>
      </c>
      <c r="G10" s="3">
        <v>69.952083056036201</v>
      </c>
    </row>
    <row r="11" spans="1:7">
      <c r="A11" s="2">
        <v>2022</v>
      </c>
      <c r="B11" s="3">
        <v>64.921620822241948</v>
      </c>
      <c r="C11" s="3">
        <v>28.042704626334519</v>
      </c>
      <c r="D11" s="3">
        <v>53.037171350861293</v>
      </c>
      <c r="E11" s="3">
        <v>60.597624350408317</v>
      </c>
      <c r="F11" s="3">
        <v>68.043397854765132</v>
      </c>
      <c r="G11" s="3">
        <v>70.618027952301574</v>
      </c>
    </row>
    <row r="12" spans="1:7">
      <c r="A12" s="2">
        <v>2023</v>
      </c>
      <c r="B12" s="3">
        <v>64.537230340988174</v>
      </c>
      <c r="C12" s="3">
        <v>26.976744186046513</v>
      </c>
      <c r="D12" s="3">
        <v>53.986332574031891</v>
      </c>
      <c r="E12" s="3">
        <v>60.192982456140356</v>
      </c>
      <c r="F12" s="3">
        <v>68.204532248692615</v>
      </c>
      <c r="G12" s="3">
        <v>69.744609083242977</v>
      </c>
    </row>
    <row r="13" spans="1:7">
      <c r="A13" s="2">
        <v>2024</v>
      </c>
      <c r="B13" s="3">
        <v>63.915443651541672</v>
      </c>
      <c r="C13" s="3">
        <v>25.837628865979383</v>
      </c>
      <c r="D13" s="3">
        <v>52.509760178471829</v>
      </c>
      <c r="E13" s="3">
        <v>60</v>
      </c>
      <c r="F13" s="3">
        <v>67.310952865378098</v>
      </c>
      <c r="G13" s="3">
        <v>69.246741261967941</v>
      </c>
    </row>
    <row r="15" spans="1:7">
      <c r="A15" s="4" t="s">
        <v>121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18A8-FACC-43A9-AD99-0606CB21A402}">
  <dimension ref="A1:G15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7">
      <c r="A1" s="4" t="s">
        <v>162</v>
      </c>
    </row>
    <row r="3" spans="1:7">
      <c r="G3" s="1" t="s">
        <v>124</v>
      </c>
    </row>
    <row r="4" spans="1:7">
      <c r="A4" s="2" t="s">
        <v>129</v>
      </c>
      <c r="B4" s="2" t="s">
        <v>102</v>
      </c>
      <c r="C4" s="2" t="s">
        <v>103</v>
      </c>
      <c r="D4" s="2" t="s">
        <v>105</v>
      </c>
      <c r="E4" s="2" t="s">
        <v>4</v>
      </c>
      <c r="F4" s="2" t="s">
        <v>5</v>
      </c>
      <c r="G4" s="2" t="s">
        <v>6</v>
      </c>
    </row>
    <row r="5" spans="1:7">
      <c r="A5" s="2">
        <v>2016</v>
      </c>
      <c r="B5" s="3">
        <v>6.5335753176043552</v>
      </c>
      <c r="C5" s="3">
        <v>37.438423645320199</v>
      </c>
      <c r="D5" s="3">
        <v>14.710424710424711</v>
      </c>
      <c r="E5" s="3">
        <v>8.4901330885727386</v>
      </c>
      <c r="F5" s="3">
        <v>5.2337858220211162</v>
      </c>
      <c r="G5" s="3">
        <v>2.477616548317382</v>
      </c>
    </row>
    <row r="6" spans="1:7">
      <c r="A6" s="2">
        <v>2017</v>
      </c>
      <c r="B6" s="3">
        <v>6.6596931659693155</v>
      </c>
      <c r="C6" s="3">
        <v>37.628384687208218</v>
      </c>
      <c r="D6" s="3">
        <v>15.570419918246007</v>
      </c>
      <c r="E6" s="3">
        <v>9.1999999999999993</v>
      </c>
      <c r="F6" s="3">
        <v>5.3114086146682196</v>
      </c>
      <c r="G6" s="3">
        <v>2.2957112275780616</v>
      </c>
    </row>
    <row r="7" spans="1:7">
      <c r="A7" s="2">
        <v>2018</v>
      </c>
      <c r="B7" s="3">
        <v>7.2135061391541608</v>
      </c>
      <c r="C7" s="3">
        <v>40.214477211796243</v>
      </c>
      <c r="D7" s="3">
        <v>16.455237404856831</v>
      </c>
      <c r="E7" s="3">
        <v>9.794594594594594</v>
      </c>
      <c r="F7" s="3">
        <v>5.7919453536359757</v>
      </c>
      <c r="G7" s="3">
        <v>2.5315537501813434</v>
      </c>
    </row>
    <row r="8" spans="1:7">
      <c r="A8" s="2">
        <v>2019</v>
      </c>
      <c r="B8" s="3">
        <v>8.3640630238015419</v>
      </c>
      <c r="C8" s="3">
        <v>43.065068493150683</v>
      </c>
      <c r="D8" s="3">
        <v>19.85005355230275</v>
      </c>
      <c r="E8" s="3">
        <v>11.505922165820643</v>
      </c>
      <c r="F8" s="3">
        <v>6.8653390892633332</v>
      </c>
      <c r="G8" s="3">
        <v>2.8608302860830288</v>
      </c>
    </row>
    <row r="9" spans="1:7">
      <c r="A9" s="2">
        <v>2020</v>
      </c>
      <c r="B9" s="3">
        <v>10.631067961165048</v>
      </c>
      <c r="C9" s="3">
        <v>47.412480974124811</v>
      </c>
      <c r="D9" s="3">
        <v>22.918054630246502</v>
      </c>
      <c r="E9" s="3">
        <v>14.730417090539166</v>
      </c>
      <c r="F9" s="3">
        <v>8.8954981749357849</v>
      </c>
      <c r="G9" s="3">
        <v>4.1628705585535073</v>
      </c>
    </row>
    <row r="10" spans="1:7">
      <c r="A10" s="2">
        <v>2021</v>
      </c>
      <c r="B10" s="3">
        <v>10.139103554868624</v>
      </c>
      <c r="C10" s="3">
        <v>45.731254639940609</v>
      </c>
      <c r="D10" s="3">
        <v>22.37472071496968</v>
      </c>
      <c r="E10" s="3">
        <v>13.91389432485323</v>
      </c>
      <c r="F10" s="3">
        <v>8.6017332815935852</v>
      </c>
      <c r="G10" s="3">
        <v>3.9198722214827635</v>
      </c>
    </row>
    <row r="11" spans="1:7">
      <c r="A11" s="2">
        <v>2022</v>
      </c>
      <c r="B11" s="3">
        <v>9.2428275658089323</v>
      </c>
      <c r="C11" s="3">
        <v>43.487544483985765</v>
      </c>
      <c r="D11" s="3">
        <v>19.492293744333637</v>
      </c>
      <c r="E11" s="3">
        <v>12.71343726800297</v>
      </c>
      <c r="F11" s="3">
        <v>7.5946245838984101</v>
      </c>
      <c r="G11" s="3">
        <v>3.6286703423515836</v>
      </c>
    </row>
    <row r="12" spans="1:7">
      <c r="A12" s="2">
        <v>2023</v>
      </c>
      <c r="B12" s="3">
        <v>8.5316631871955462</v>
      </c>
      <c r="C12" s="3">
        <v>42.923588039867113</v>
      </c>
      <c r="D12" s="3">
        <v>16.941913439635535</v>
      </c>
      <c r="E12" s="3">
        <v>11.491228070175438</v>
      </c>
      <c r="F12" s="3">
        <v>6.9726902963393371</v>
      </c>
      <c r="G12" s="3">
        <v>3.4272979159137456</v>
      </c>
    </row>
    <row r="13" spans="1:7">
      <c r="A13" s="2">
        <v>2024</v>
      </c>
      <c r="B13" s="3">
        <v>8.8864952201427219</v>
      </c>
      <c r="C13" s="3">
        <v>43.75</v>
      </c>
      <c r="D13" s="3">
        <v>18.37702175125488</v>
      </c>
      <c r="E13" s="3">
        <v>11.782945736434108</v>
      </c>
      <c r="F13" s="3">
        <v>7.4827625183678084</v>
      </c>
      <c r="G13" s="3">
        <v>3.5413542507786366</v>
      </c>
    </row>
    <row r="15" spans="1:7">
      <c r="A15" s="4" t="s">
        <v>121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C55B-0BDA-4900-9710-ECF40829DED9}">
  <dimension ref="A1:F30"/>
  <sheetViews>
    <sheetView zoomScaleNormal="100" workbookViewId="0"/>
  </sheetViews>
  <sheetFormatPr defaultColWidth="10.6328125" defaultRowHeight="16"/>
  <cols>
    <col min="1" max="1" width="12.6328125" style="28" customWidth="1"/>
    <col min="2" max="16384" width="10.6328125" style="28"/>
  </cols>
  <sheetData>
    <row r="1" spans="1:6">
      <c r="A1" s="28" t="s">
        <v>163</v>
      </c>
    </row>
    <row r="3" spans="1:6">
      <c r="F3" s="29" t="s">
        <v>124</v>
      </c>
    </row>
    <row r="4" spans="1:6">
      <c r="A4" s="31"/>
      <c r="B4" s="31" t="s">
        <v>45</v>
      </c>
      <c r="C4" s="31" t="s">
        <v>115</v>
      </c>
      <c r="D4" s="31" t="s">
        <v>116</v>
      </c>
      <c r="E4" s="31" t="s">
        <v>117</v>
      </c>
      <c r="F4" s="31" t="s">
        <v>49</v>
      </c>
    </row>
    <row r="5" spans="1:6">
      <c r="A5" s="28" t="s">
        <v>50</v>
      </c>
      <c r="B5" s="30">
        <v>78.576180971390556</v>
      </c>
      <c r="C5" s="30">
        <v>79.325751421608445</v>
      </c>
      <c r="D5" s="30">
        <v>73.899067823850856</v>
      </c>
      <c r="E5" s="30">
        <v>70.13593882752761</v>
      </c>
      <c r="F5" s="30">
        <v>42.812554187619213</v>
      </c>
    </row>
    <row r="6" spans="1:6">
      <c r="A6" s="28" t="s">
        <v>51</v>
      </c>
      <c r="B6" s="30">
        <v>14.37125748502994</v>
      </c>
      <c r="C6" s="30">
        <v>12.875710804224209</v>
      </c>
      <c r="D6" s="30">
        <v>17.81849351762563</v>
      </c>
      <c r="E6" s="30">
        <v>19.031435853865762</v>
      </c>
      <c r="F6" s="30">
        <v>18.207040055488122</v>
      </c>
    </row>
    <row r="7" spans="1:6">
      <c r="A7" s="28" t="s">
        <v>52</v>
      </c>
      <c r="B7" s="30">
        <v>2.1068973164781548</v>
      </c>
      <c r="C7" s="30">
        <v>2.8702951529921474</v>
      </c>
      <c r="D7" s="30">
        <v>4.6823100825029469</v>
      </c>
      <c r="E7" s="30">
        <v>6.9562446898895498</v>
      </c>
      <c r="F7" s="30">
        <v>14.999132998092596</v>
      </c>
    </row>
    <row r="8" spans="1:6">
      <c r="A8" s="28" t="s">
        <v>53</v>
      </c>
      <c r="B8" s="30">
        <v>2.8609447771124419</v>
      </c>
      <c r="C8" s="30">
        <v>4.2106688329271593</v>
      </c>
      <c r="D8" s="30">
        <v>2.9143897996357011</v>
      </c>
      <c r="E8" s="30">
        <v>3.2816482582837723</v>
      </c>
      <c r="F8" s="30">
        <v>20.912086006589213</v>
      </c>
    </row>
    <row r="9" spans="1:6">
      <c r="A9" s="28" t="s">
        <v>54</v>
      </c>
      <c r="B9" s="30">
        <v>2.0847194499889112</v>
      </c>
      <c r="C9" s="30">
        <v>0.71757378824803686</v>
      </c>
      <c r="D9" s="30">
        <v>0.67502410800385726</v>
      </c>
      <c r="E9" s="30">
        <v>0.59473237043330507</v>
      </c>
      <c r="F9" s="30">
        <v>3.0691867522108547</v>
      </c>
    </row>
    <row r="11" spans="1:6">
      <c r="A11" s="28" t="s">
        <v>151</v>
      </c>
    </row>
    <row r="12" spans="1:6">
      <c r="A12" s="28" t="s">
        <v>136</v>
      </c>
    </row>
    <row r="17" s="28" customFormat="1"/>
    <row r="18" s="28" customFormat="1"/>
    <row r="19" s="28" customFormat="1"/>
    <row r="20" s="28" customFormat="1"/>
    <row r="21" s="28" customFormat="1"/>
    <row r="22" s="28" customFormat="1"/>
    <row r="23" s="28" customFormat="1"/>
    <row r="24" s="28" customFormat="1"/>
    <row r="25" s="28" customFormat="1"/>
    <row r="26" s="28" customFormat="1"/>
    <row r="27" s="28" customFormat="1"/>
    <row r="28" s="28" customFormat="1"/>
    <row r="29" s="28" customFormat="1"/>
    <row r="30" s="28" customFormat="1"/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7195-2602-419C-91E1-FE6FA2ABE2C6}">
  <dimension ref="A1:F11"/>
  <sheetViews>
    <sheetView zoomScaleNormal="100" workbookViewId="0"/>
  </sheetViews>
  <sheetFormatPr defaultColWidth="10.6328125" defaultRowHeight="16"/>
  <cols>
    <col min="1" max="16384" width="10.6328125" style="4"/>
  </cols>
  <sheetData>
    <row r="1" spans="1:6">
      <c r="A1" s="4" t="s">
        <v>167</v>
      </c>
    </row>
    <row r="3" spans="1:6">
      <c r="F3" s="1" t="s">
        <v>124</v>
      </c>
    </row>
    <row r="4" spans="1:6">
      <c r="A4" s="2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2" t="s">
        <v>61</v>
      </c>
      <c r="B5" s="6">
        <v>28.076149475987155</v>
      </c>
      <c r="C5" s="6">
        <v>51.018031687780095</v>
      </c>
      <c r="D5" s="6">
        <v>75.013232647588126</v>
      </c>
      <c r="E5" s="6">
        <v>109.95800839832033</v>
      </c>
      <c r="F5" s="6">
        <v>235.80754437347827</v>
      </c>
    </row>
    <row r="6" spans="1:6">
      <c r="A6" s="2" t="s">
        <v>62</v>
      </c>
      <c r="B6" s="6">
        <v>17.505768827354732</v>
      </c>
      <c r="C6" s="6">
        <v>46.024753513740293</v>
      </c>
      <c r="D6" s="6">
        <v>84.529053912313827</v>
      </c>
      <c r="E6" s="6">
        <v>118.06167400881058</v>
      </c>
      <c r="F6" s="6">
        <v>233.75288441367735</v>
      </c>
    </row>
    <row r="8" spans="1:6">
      <c r="A8" s="4" t="s">
        <v>164</v>
      </c>
    </row>
    <row r="9" spans="1:6">
      <c r="A9" s="4" t="s">
        <v>165</v>
      </c>
    </row>
    <row r="10" spans="1:6">
      <c r="A10" s="4" t="s">
        <v>166</v>
      </c>
    </row>
    <row r="11" spans="1:6">
      <c r="A11" s="4" t="s">
        <v>121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6"/>
  <sheetViews>
    <sheetView zoomScaleNormal="100" workbookViewId="0"/>
  </sheetViews>
  <sheetFormatPr defaultColWidth="10.6328125" defaultRowHeight="16"/>
  <cols>
    <col min="1" max="1" width="15.6328125" style="33" customWidth="1"/>
    <col min="2" max="16384" width="10.6328125" style="33"/>
  </cols>
  <sheetData>
    <row r="1" spans="1:22">
      <c r="A1" s="33" t="s">
        <v>170</v>
      </c>
    </row>
    <row r="3" spans="1:22" s="9" customFormat="1">
      <c r="A3" s="24"/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>
      <c r="A4" s="24" t="s">
        <v>73</v>
      </c>
      <c r="B4" s="34">
        <v>130.69999999999999</v>
      </c>
      <c r="C4" s="34">
        <v>192.2</v>
      </c>
      <c r="D4" s="34">
        <v>265.60000000000002</v>
      </c>
      <c r="E4" s="34">
        <v>361.8</v>
      </c>
      <c r="F4" s="34">
        <v>494.9</v>
      </c>
    </row>
    <row r="5" spans="1:22">
      <c r="A5" s="24" t="s">
        <v>74</v>
      </c>
      <c r="B5" s="34">
        <v>45.2</v>
      </c>
      <c r="C5" s="34">
        <v>66.5</v>
      </c>
      <c r="D5" s="34">
        <v>91.9</v>
      </c>
      <c r="E5" s="34">
        <v>125.2</v>
      </c>
      <c r="F5" s="34">
        <v>171.2</v>
      </c>
    </row>
    <row r="7" spans="1:22">
      <c r="A7" s="33" t="s">
        <v>168</v>
      </c>
    </row>
    <row r="8" spans="1:22">
      <c r="A8" s="33" t="s">
        <v>169</v>
      </c>
    </row>
    <row r="39" spans="1:6">
      <c r="B39" s="33" t="s">
        <v>2</v>
      </c>
      <c r="C39" s="33" t="s">
        <v>3</v>
      </c>
      <c r="D39" s="33" t="s">
        <v>4</v>
      </c>
      <c r="E39" s="33" t="s">
        <v>5</v>
      </c>
      <c r="F39" s="33" t="s">
        <v>6</v>
      </c>
    </row>
    <row r="40" spans="1:6">
      <c r="A40" s="33" t="s">
        <v>73</v>
      </c>
      <c r="B40" s="33">
        <v>130.69999999999999</v>
      </c>
      <c r="C40" s="33">
        <v>192.2</v>
      </c>
      <c r="D40" s="33">
        <v>265.60000000000002</v>
      </c>
      <c r="E40" s="33">
        <v>361.8</v>
      </c>
      <c r="F40" s="33">
        <v>494.9</v>
      </c>
    </row>
    <row r="41" spans="1:6">
      <c r="A41" s="33" t="s">
        <v>74</v>
      </c>
      <c r="B41" s="33">
        <v>45.2</v>
      </c>
      <c r="C41" s="33">
        <v>66.5</v>
      </c>
      <c r="D41" s="33">
        <v>91.9</v>
      </c>
      <c r="E41" s="33">
        <v>125.2</v>
      </c>
      <c r="F41" s="33">
        <v>171.2</v>
      </c>
    </row>
    <row r="53" spans="1:11">
      <c r="A53" s="35" t="s">
        <v>68</v>
      </c>
      <c r="B53" s="36" t="s">
        <v>0</v>
      </c>
      <c r="D53" s="35" t="s">
        <v>68</v>
      </c>
      <c r="E53" s="37" t="s">
        <v>68</v>
      </c>
      <c r="F53" s="36" t="s">
        <v>71</v>
      </c>
      <c r="G53" s="36" t="s">
        <v>2</v>
      </c>
      <c r="H53" s="36" t="s">
        <v>3</v>
      </c>
      <c r="I53" s="36" t="s">
        <v>4</v>
      </c>
      <c r="J53" s="36" t="s">
        <v>5</v>
      </c>
      <c r="K53" s="36" t="s">
        <v>6</v>
      </c>
    </row>
    <row r="54" spans="1:11">
      <c r="A54" s="37" t="s">
        <v>68</v>
      </c>
      <c r="B54" s="36" t="s">
        <v>70</v>
      </c>
      <c r="D54" s="35" t="s">
        <v>69</v>
      </c>
      <c r="E54" s="37" t="s">
        <v>69</v>
      </c>
      <c r="F54" s="36" t="s">
        <v>72</v>
      </c>
      <c r="G54" s="36" t="s">
        <v>72</v>
      </c>
      <c r="H54" s="36" t="s">
        <v>72</v>
      </c>
      <c r="I54" s="36" t="s">
        <v>72</v>
      </c>
      <c r="J54" s="36" t="s">
        <v>72</v>
      </c>
      <c r="K54" s="36" t="s">
        <v>72</v>
      </c>
    </row>
    <row r="55" spans="1:11">
      <c r="A55" s="36" t="s">
        <v>71</v>
      </c>
      <c r="B55" s="38">
        <v>2890478</v>
      </c>
      <c r="D55" s="36" t="s">
        <v>0</v>
      </c>
      <c r="E55" s="36" t="s">
        <v>70</v>
      </c>
      <c r="F55" s="39">
        <f>F63/10000</f>
        <v>289.0478</v>
      </c>
      <c r="G55" s="39">
        <f t="shared" ref="G55:K55" si="0">G63/10000</f>
        <v>130.70189999999999</v>
      </c>
      <c r="H55" s="39">
        <f t="shared" si="0"/>
        <v>192.17269999999999</v>
      </c>
      <c r="I55" s="39">
        <f t="shared" si="0"/>
        <v>265.64440000000002</v>
      </c>
      <c r="J55" s="39">
        <f t="shared" si="0"/>
        <v>361.81389999999999</v>
      </c>
      <c r="K55" s="39">
        <f t="shared" si="0"/>
        <v>494.86779999999999</v>
      </c>
    </row>
    <row r="56" spans="1:11">
      <c r="A56" s="36" t="s">
        <v>2</v>
      </c>
      <c r="B56" s="38">
        <v>1307019</v>
      </c>
      <c r="E56" s="33" t="s">
        <v>75</v>
      </c>
      <c r="F56" s="40">
        <f>F63/F63*100</f>
        <v>100</v>
      </c>
      <c r="G56" s="41">
        <f>G63/$F$63*100</f>
        <v>45.218091955724972</v>
      </c>
      <c r="H56" s="41">
        <f t="shared" ref="H56:K56" si="1">H63/$F$63*100</f>
        <v>66.484747505429894</v>
      </c>
      <c r="I56" s="41">
        <f t="shared" si="1"/>
        <v>91.903276897454333</v>
      </c>
      <c r="J56" s="41">
        <f t="shared" si="1"/>
        <v>125.17441751848656</v>
      </c>
      <c r="K56" s="41">
        <f t="shared" si="1"/>
        <v>171.20621571933776</v>
      </c>
    </row>
    <row r="57" spans="1:11">
      <c r="A57" s="36" t="s">
        <v>3</v>
      </c>
      <c r="B57" s="38">
        <v>1921727</v>
      </c>
    </row>
    <row r="58" spans="1:11">
      <c r="A58" s="36" t="s">
        <v>4</v>
      </c>
      <c r="B58" s="38">
        <v>2656444</v>
      </c>
    </row>
    <row r="59" spans="1:11">
      <c r="A59" s="36" t="s">
        <v>5</v>
      </c>
      <c r="B59" s="38">
        <v>3618139</v>
      </c>
    </row>
    <row r="60" spans="1:11">
      <c r="A60" s="36" t="s">
        <v>6</v>
      </c>
      <c r="B60" s="38">
        <v>4948678</v>
      </c>
    </row>
    <row r="63" spans="1:11">
      <c r="F63" s="38">
        <v>2890478</v>
      </c>
      <c r="G63" s="38">
        <v>1307019</v>
      </c>
      <c r="H63" s="38">
        <v>1921727</v>
      </c>
      <c r="I63" s="38">
        <v>2656444</v>
      </c>
      <c r="J63" s="38">
        <v>3618139</v>
      </c>
      <c r="K63" s="38">
        <v>4948678</v>
      </c>
    </row>
    <row r="68" spans="1:6">
      <c r="A68" s="33" t="s">
        <v>76</v>
      </c>
    </row>
    <row r="74" spans="1:6">
      <c r="B74" s="33" t="s">
        <v>2</v>
      </c>
      <c r="C74" s="33" t="s">
        <v>3</v>
      </c>
      <c r="D74" s="33" t="s">
        <v>4</v>
      </c>
      <c r="E74" s="33" t="s">
        <v>5</v>
      </c>
      <c r="F74" s="33" t="s">
        <v>6</v>
      </c>
    </row>
    <row r="75" spans="1:6">
      <c r="A75" s="33" t="s">
        <v>73</v>
      </c>
      <c r="B75" s="42">
        <f t="shared" ref="B75:F75" si="2">B40-ROUND(G55,1)</f>
        <v>0</v>
      </c>
      <c r="C75" s="42">
        <f t="shared" si="2"/>
        <v>0</v>
      </c>
      <c r="D75" s="42">
        <f t="shared" si="2"/>
        <v>0</v>
      </c>
      <c r="E75" s="42">
        <f t="shared" si="2"/>
        <v>0</v>
      </c>
      <c r="F75" s="42">
        <f t="shared" si="2"/>
        <v>0</v>
      </c>
    </row>
    <row r="76" spans="1:6">
      <c r="A76" s="33" t="s">
        <v>74</v>
      </c>
      <c r="B76" s="42">
        <f t="shared" ref="B76" si="3">B41-ROUND(G56,1)</f>
        <v>0</v>
      </c>
      <c r="C76" s="42">
        <f t="shared" ref="C76" si="4">C41-ROUND(H56,1)</f>
        <v>0</v>
      </c>
      <c r="D76" s="42">
        <f t="shared" ref="D76" si="5">D41-ROUND(I56,1)</f>
        <v>0</v>
      </c>
      <c r="E76" s="42">
        <f t="shared" ref="E76" si="6">E41-ROUND(J56,1)</f>
        <v>0</v>
      </c>
      <c r="F76" s="42">
        <f t="shared" ref="F76" si="7">F41-ROUND(K56,1)</f>
        <v>0</v>
      </c>
    </row>
  </sheetData>
  <mergeCells count="3">
    <mergeCell ref="A53:A54"/>
    <mergeCell ref="D53:E53"/>
    <mergeCell ref="D54:E54"/>
  </mergeCells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9690-E2B5-4C0E-828A-142F2499680F}">
  <dimension ref="A1:F20"/>
  <sheetViews>
    <sheetView zoomScaleNormal="100" workbookViewId="0"/>
  </sheetViews>
  <sheetFormatPr defaultColWidth="10.6328125" defaultRowHeight="16"/>
  <cols>
    <col min="1" max="1" width="18.6328125" style="45" customWidth="1"/>
    <col min="2" max="16384" width="10.6328125" style="45"/>
  </cols>
  <sheetData>
    <row r="1" spans="1:6">
      <c r="A1" s="45" t="s">
        <v>172</v>
      </c>
    </row>
    <row r="3" spans="1:6">
      <c r="F3" s="1" t="s">
        <v>124</v>
      </c>
    </row>
    <row r="4" spans="1:6">
      <c r="B4" s="47" t="s">
        <v>2</v>
      </c>
      <c r="C4" s="47" t="s">
        <v>3</v>
      </c>
      <c r="D4" s="47" t="s">
        <v>4</v>
      </c>
      <c r="E4" s="47" t="s">
        <v>5</v>
      </c>
      <c r="F4" s="47" t="s">
        <v>6</v>
      </c>
    </row>
    <row r="5" spans="1:6">
      <c r="A5" s="44" t="s">
        <v>106</v>
      </c>
      <c r="B5" s="46">
        <v>22.173357847131527</v>
      </c>
      <c r="C5" s="46">
        <v>17.839942926336573</v>
      </c>
      <c r="D5" s="46">
        <v>15.514951566831447</v>
      </c>
      <c r="E5" s="46">
        <v>14.531337795479942</v>
      </c>
      <c r="F5" s="46">
        <v>12.771127965893115</v>
      </c>
    </row>
    <row r="6" spans="1:6">
      <c r="A6" s="44" t="s">
        <v>107</v>
      </c>
      <c r="B6" s="46">
        <v>1.9730394125869632</v>
      </c>
      <c r="C6" s="46">
        <v>1.7469703032740862</v>
      </c>
      <c r="D6" s="46">
        <v>1.5110425817370892</v>
      </c>
      <c r="E6" s="46">
        <v>1.1843104977448351</v>
      </c>
      <c r="F6" s="46">
        <v>0.95399215709730967</v>
      </c>
    </row>
    <row r="7" spans="1:6">
      <c r="A7" s="44" t="s">
        <v>108</v>
      </c>
      <c r="B7" s="46">
        <v>3.7398844240213802</v>
      </c>
      <c r="C7" s="46">
        <v>4.3722651552483782</v>
      </c>
      <c r="D7" s="46">
        <v>4.8525020666725895</v>
      </c>
      <c r="E7" s="46">
        <v>4.8614494910228716</v>
      </c>
      <c r="F7" s="46">
        <v>5.430945395921901</v>
      </c>
    </row>
    <row r="8" spans="1:6">
      <c r="A8" s="44" t="s">
        <v>109</v>
      </c>
      <c r="B8" s="46">
        <v>20.024421986214431</v>
      </c>
      <c r="C8" s="46">
        <v>16.537416604960018</v>
      </c>
      <c r="D8" s="46">
        <v>13.201219374472039</v>
      </c>
      <c r="E8" s="46">
        <v>10.522647139869418</v>
      </c>
      <c r="F8" s="46">
        <v>9.0347967679448935</v>
      </c>
    </row>
    <row r="9" spans="1:6">
      <c r="A9" s="44" t="s">
        <v>110</v>
      </c>
      <c r="B9" s="46">
        <v>3.7317743659426528</v>
      </c>
      <c r="C9" s="46">
        <v>3.7714514080303809</v>
      </c>
      <c r="D9" s="46">
        <v>4.3408782567974331</v>
      </c>
      <c r="E9" s="46">
        <v>4.3872554371183643</v>
      </c>
      <c r="F9" s="46">
        <v>4.5420009141835456</v>
      </c>
    </row>
    <row r="10" spans="1:6">
      <c r="A10" s="44" t="s">
        <v>77</v>
      </c>
      <c r="B10" s="46">
        <v>11.438854370135401</v>
      </c>
      <c r="C10" s="46">
        <v>9.0061699710728949</v>
      </c>
      <c r="D10" s="46">
        <v>7.7261933622542012</v>
      </c>
      <c r="E10" s="46">
        <v>7.4022584538626077</v>
      </c>
      <c r="F10" s="46">
        <v>6.6629511962588799</v>
      </c>
    </row>
    <row r="11" spans="1:6">
      <c r="A11" s="44" t="s">
        <v>111</v>
      </c>
      <c r="B11" s="46">
        <v>7.1586564541142854</v>
      </c>
      <c r="C11" s="46">
        <v>9.7030431481682893</v>
      </c>
      <c r="D11" s="46">
        <v>11.165942139190587</v>
      </c>
      <c r="E11" s="46">
        <v>12.569942724699079</v>
      </c>
      <c r="F11" s="46">
        <v>13.000765052808042</v>
      </c>
    </row>
    <row r="12" spans="1:6">
      <c r="A12" s="44" t="s">
        <v>78</v>
      </c>
      <c r="B12" s="46">
        <v>5.5022153465251842</v>
      </c>
      <c r="C12" s="46">
        <v>6.1936476929345323</v>
      </c>
      <c r="D12" s="46">
        <v>6.3917778805049164</v>
      </c>
      <c r="E12" s="46">
        <v>6.0795895348409772</v>
      </c>
      <c r="F12" s="46">
        <v>4.9501705303921577</v>
      </c>
    </row>
    <row r="13" spans="1:6">
      <c r="A13" s="44" t="s">
        <v>112</v>
      </c>
      <c r="B13" s="46">
        <v>3.8349098215098634</v>
      </c>
      <c r="C13" s="46">
        <v>4.7946976859876562</v>
      </c>
      <c r="D13" s="46">
        <v>5.610696103512816</v>
      </c>
      <c r="E13" s="46">
        <v>5.7606410367318661</v>
      </c>
      <c r="F13" s="46">
        <v>7.8512483536006998</v>
      </c>
    </row>
    <row r="14" spans="1:6">
      <c r="A14" s="44" t="s">
        <v>79</v>
      </c>
      <c r="B14" s="46">
        <v>1.4464977173246907</v>
      </c>
      <c r="C14" s="46">
        <v>3.1729272680250631</v>
      </c>
      <c r="D14" s="46">
        <v>5.5391342712287548</v>
      </c>
      <c r="E14" s="46">
        <v>9.0722606290139769</v>
      </c>
      <c r="F14" s="46">
        <v>10.455034657740917</v>
      </c>
    </row>
    <row r="15" spans="1:6">
      <c r="A15" s="44" t="s">
        <v>113</v>
      </c>
      <c r="B15" s="46">
        <v>12.537690729821065</v>
      </c>
      <c r="C15" s="46">
        <v>15.35852907306813</v>
      </c>
      <c r="D15" s="46">
        <v>16.360932133333133</v>
      </c>
      <c r="E15" s="46">
        <v>15.681072507164595</v>
      </c>
      <c r="F15" s="46">
        <v>15.845080241632209</v>
      </c>
    </row>
    <row r="16" spans="1:6">
      <c r="A16" s="44" t="s">
        <v>114</v>
      </c>
      <c r="B16" s="46">
        <v>6.4386975246725573</v>
      </c>
      <c r="C16" s="46">
        <v>7.5029907994215623</v>
      </c>
      <c r="D16" s="46">
        <v>7.7847679077744534</v>
      </c>
      <c r="E16" s="46">
        <v>7.9472623909695006</v>
      </c>
      <c r="F16" s="46">
        <v>8.5018463516923113</v>
      </c>
    </row>
    <row r="18" spans="1:1">
      <c r="A18" s="45" t="s">
        <v>171</v>
      </c>
    </row>
    <row r="19" spans="1:1">
      <c r="A19" s="45" t="s">
        <v>174</v>
      </c>
    </row>
    <row r="20" spans="1:1">
      <c r="A20" s="45" t="s">
        <v>173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ABB-213D-4F80-ACDC-EE3B5C7BD9C9}">
  <dimension ref="A1:E19"/>
  <sheetViews>
    <sheetView zoomScaleNormal="100" workbookViewId="0"/>
  </sheetViews>
  <sheetFormatPr defaultColWidth="10.6328125" defaultRowHeight="16"/>
  <cols>
    <col min="1" max="1" width="18.6328125" style="4" customWidth="1"/>
    <col min="2" max="16384" width="10.6328125" style="4"/>
  </cols>
  <sheetData>
    <row r="1" spans="1:5">
      <c r="A1" s="4" t="s">
        <v>175</v>
      </c>
    </row>
    <row r="3" spans="1:5">
      <c r="E3" s="1" t="s">
        <v>124</v>
      </c>
    </row>
    <row r="4" spans="1:5">
      <c r="A4" s="43"/>
      <c r="B4" s="47" t="s">
        <v>118</v>
      </c>
      <c r="C4" s="47" t="s">
        <v>116</v>
      </c>
      <c r="D4" s="47" t="s">
        <v>117</v>
      </c>
      <c r="E4" s="47" t="s">
        <v>119</v>
      </c>
    </row>
    <row r="5" spans="1:5">
      <c r="A5" s="44" t="s">
        <v>106</v>
      </c>
      <c r="B5" s="48">
        <v>10.73328696277312</v>
      </c>
      <c r="C5" s="48">
        <v>13.419609345058225</v>
      </c>
      <c r="D5" s="48">
        <v>14.600453347198014</v>
      </c>
      <c r="E5" s="48">
        <v>21.272020020724725</v>
      </c>
    </row>
    <row r="6" spans="1:5">
      <c r="A6" s="44" t="s">
        <v>107</v>
      </c>
      <c r="B6" s="48">
        <v>1.4206585798862625</v>
      </c>
      <c r="C6" s="48">
        <v>1.2340430829146534</v>
      </c>
      <c r="D6" s="48">
        <v>1.3067151582496055</v>
      </c>
      <c r="E6" s="48">
        <v>1.2992012227776213</v>
      </c>
    </row>
    <row r="7" spans="1:5">
      <c r="A7" s="44" t="s">
        <v>108</v>
      </c>
      <c r="B7" s="48">
        <v>5.644955291090838</v>
      </c>
      <c r="C7" s="48">
        <v>4.9885884387389732</v>
      </c>
      <c r="D7" s="48">
        <v>4.8243750817367541</v>
      </c>
      <c r="E7" s="48">
        <v>4.2371333996549643</v>
      </c>
    </row>
    <row r="8" spans="1:5">
      <c r="A8" s="44" t="s">
        <v>109</v>
      </c>
      <c r="B8" s="48">
        <v>13.363566183832617</v>
      </c>
      <c r="C8" s="48">
        <v>10.289528141145796</v>
      </c>
      <c r="D8" s="48">
        <v>11.32158798528434</v>
      </c>
      <c r="E8" s="48">
        <v>13.761236481163747</v>
      </c>
    </row>
    <row r="9" spans="1:5">
      <c r="A9" s="44" t="s">
        <v>110</v>
      </c>
      <c r="B9" s="48">
        <v>5.1747280918561644</v>
      </c>
      <c r="C9" s="48">
        <v>4.000654737830736</v>
      </c>
      <c r="D9" s="48">
        <v>3.6843666550579934</v>
      </c>
      <c r="E9" s="48">
        <v>4.4359571161949329</v>
      </c>
    </row>
    <row r="10" spans="1:5">
      <c r="A10" s="44" t="s">
        <v>77</v>
      </c>
      <c r="B10" s="48">
        <v>5.4273367896618652</v>
      </c>
      <c r="C10" s="48">
        <v>5.9085586577026916</v>
      </c>
      <c r="D10" s="48">
        <v>7.3200754747401175</v>
      </c>
      <c r="E10" s="48">
        <v>11.936340645967666</v>
      </c>
    </row>
    <row r="11" spans="1:5">
      <c r="A11" s="44" t="s">
        <v>111</v>
      </c>
      <c r="B11" s="48">
        <v>13.477275477214626</v>
      </c>
      <c r="C11" s="48">
        <v>10.697097143547296</v>
      </c>
      <c r="D11" s="48">
        <v>12.329976677296191</v>
      </c>
      <c r="E11" s="48">
        <v>10.131633065066413</v>
      </c>
    </row>
    <row r="12" spans="1:5">
      <c r="A12" s="44" t="s">
        <v>78</v>
      </c>
      <c r="B12" s="48">
        <v>5.8945921218635302</v>
      </c>
      <c r="C12" s="48">
        <v>5.6671638118561045</v>
      </c>
      <c r="D12" s="48">
        <v>6.0396320678913087</v>
      </c>
      <c r="E12" s="48">
        <v>5.2829696780891089</v>
      </c>
    </row>
    <row r="13" spans="1:5">
      <c r="A13" s="44" t="s">
        <v>112</v>
      </c>
      <c r="B13" s="48">
        <v>7.22453799850416</v>
      </c>
      <c r="C13" s="48">
        <v>6.5428226881490597</v>
      </c>
      <c r="D13" s="48">
        <v>5.8967612962006584</v>
      </c>
      <c r="E13" s="48">
        <v>5.1397224844446914</v>
      </c>
    </row>
    <row r="14" spans="1:5">
      <c r="A14" s="44" t="s">
        <v>79</v>
      </c>
      <c r="B14" s="48">
        <v>4.7600818820126332</v>
      </c>
      <c r="C14" s="48">
        <v>14.749929613034579</v>
      </c>
      <c r="D14" s="48">
        <v>8.9134890944684049</v>
      </c>
      <c r="E14" s="48">
        <v>1.3101659389797073</v>
      </c>
    </row>
    <row r="15" spans="1:5">
      <c r="A15" s="44" t="s">
        <v>113</v>
      </c>
      <c r="B15" s="48">
        <v>18.994900417688836</v>
      </c>
      <c r="C15" s="48">
        <v>15.365732791214647</v>
      </c>
      <c r="D15" s="48">
        <v>15.741186711829336</v>
      </c>
      <c r="E15" s="48">
        <v>12.64617660816622</v>
      </c>
    </row>
    <row r="16" spans="1:5">
      <c r="A16" s="44" t="s">
        <v>114</v>
      </c>
      <c r="B16" s="48">
        <v>7.8840802036153468</v>
      </c>
      <c r="C16" s="48">
        <v>7.1362980349654368</v>
      </c>
      <c r="D16" s="48">
        <v>8.0213804500472801</v>
      </c>
      <c r="E16" s="48">
        <v>8.5474433387702007</v>
      </c>
    </row>
    <row r="18" spans="1:1">
      <c r="A18" s="4" t="s">
        <v>171</v>
      </c>
    </row>
    <row r="19" spans="1:1">
      <c r="A19" s="4" t="s">
        <v>169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그림 5-1</vt:lpstr>
      <vt:lpstr>그림 5-2</vt:lpstr>
      <vt:lpstr>그림 5-3</vt:lpstr>
      <vt:lpstr>그림 5-4</vt:lpstr>
      <vt:lpstr>그림 5-5</vt:lpstr>
      <vt:lpstr>그림 5-6</vt:lpstr>
      <vt:lpstr>그림 5-7</vt:lpstr>
      <vt:lpstr>그림 5-8</vt:lpstr>
      <vt:lpstr>표 5-1</vt:lpstr>
      <vt:lpstr>표 5-2</vt:lpstr>
      <vt:lpstr>그림 5-9</vt:lpstr>
      <vt:lpstr>그림 5-10</vt:lpstr>
      <vt:lpstr>그림 5-11</vt:lpstr>
      <vt:lpstr>그림 5-12</vt:lpstr>
      <vt:lpstr>그림 5-13</vt:lpstr>
      <vt:lpstr>그림 5-14</vt:lpstr>
      <vt:lpstr>그림 5-15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stats</cp:lastModifiedBy>
  <cp:lastPrinted>2026-05-20T09:03:58Z</cp:lastPrinted>
  <dcterms:created xsi:type="dcterms:W3CDTF">2024-03-28T06:00:22Z</dcterms:created>
  <dcterms:modified xsi:type="dcterms:W3CDTF">2026-05-20T09:59:43Z</dcterms:modified>
</cp:coreProperties>
</file>
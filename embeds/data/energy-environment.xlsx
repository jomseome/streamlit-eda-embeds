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ts\Desktop\시선 최종 통계\"/>
    </mc:Choice>
  </mc:AlternateContent>
  <xr:revisionPtr revIDLastSave="0" documentId="13_ncr:1_{4F9673F0-8B99-424B-9329-96DEBDB9D5B2}" xr6:coauthVersionLast="47" xr6:coauthVersionMax="47" xr10:uidLastSave="{00000000-0000-0000-0000-000000000000}"/>
  <bookViews>
    <workbookView xWindow="-110" yWindow="-110" windowWidth="19420" windowHeight="10300" tabRatio="812" xr2:uid="{00000000-000D-0000-FFFF-FFFF00000000}"/>
  </bookViews>
  <sheets>
    <sheet name="그림 7-1" sheetId="2" r:id="rId1"/>
    <sheet name="표 7-1" sheetId="38" r:id="rId2"/>
    <sheet name="그림 7-2" sheetId="24" r:id="rId3"/>
    <sheet name="그림 7-3" sheetId="5" r:id="rId4"/>
    <sheet name="그림 7-4" sheetId="6" r:id="rId5"/>
    <sheet name="그림 7-5" sheetId="7" r:id="rId6"/>
    <sheet name="그림 7-6" sheetId="8" r:id="rId7"/>
    <sheet name="그림 7-7" sheetId="9" r:id="rId8"/>
    <sheet name="그림 7-8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11" l="1"/>
  <c r="D5" i="11"/>
  <c r="D6" i="11"/>
</calcChain>
</file>

<file path=xl/sharedStrings.xml><?xml version="1.0" encoding="utf-8"?>
<sst xmlns="http://schemas.openxmlformats.org/spreadsheetml/2006/main" count="116" uniqueCount="81">
  <si>
    <t>-</t>
  </si>
  <si>
    <t>피해액 비율(%)</t>
  </si>
  <si>
    <t>사망자 비율(%)</t>
  </si>
  <si>
    <t>호우</t>
  </si>
  <si>
    <t>태풍</t>
  </si>
  <si>
    <t>한파</t>
  </si>
  <si>
    <t>대설</t>
  </si>
  <si>
    <t>폭염</t>
  </si>
  <si>
    <t>기타</t>
  </si>
  <si>
    <t>합계</t>
  </si>
  <si>
    <t>순배출량</t>
  </si>
  <si>
    <t>원자력</t>
  </si>
  <si>
    <t>석탄</t>
  </si>
  <si>
    <t>LNG</t>
  </si>
  <si>
    <t>신재생</t>
  </si>
  <si>
    <t>태양에너지</t>
  </si>
  <si>
    <t>풍력</t>
  </si>
  <si>
    <t>수력</t>
  </si>
  <si>
    <t>해양에너지</t>
  </si>
  <si>
    <t>바이오에너지</t>
  </si>
  <si>
    <t>석유 의존도</t>
    <phoneticPr fontId="46" type="noConversion"/>
  </si>
  <si>
    <t>연평균 기온(℃)</t>
    <phoneticPr fontId="2" type="noConversion"/>
  </si>
  <si>
    <t>폭염 일수(일)</t>
    <phoneticPr fontId="2" type="noConversion"/>
  </si>
  <si>
    <t>한파 일수(일)</t>
    <phoneticPr fontId="2" type="noConversion"/>
  </si>
  <si>
    <t>폭우 일수(일)</t>
    <phoneticPr fontId="2" type="noConversion"/>
  </si>
  <si>
    <t>전력</t>
    <phoneticPr fontId="2" type="noConversion"/>
  </si>
  <si>
    <t>산업</t>
    <phoneticPr fontId="2" type="noConversion"/>
  </si>
  <si>
    <t>수송</t>
    <phoneticPr fontId="2" type="noConversion"/>
  </si>
  <si>
    <t>건물</t>
    <phoneticPr fontId="2" type="noConversion"/>
  </si>
  <si>
    <t>기타</t>
    <phoneticPr fontId="2" type="noConversion"/>
  </si>
  <si>
    <t>철강</t>
    <phoneticPr fontId="2" type="noConversion"/>
  </si>
  <si>
    <t>화학</t>
    <phoneticPr fontId="2" type="noConversion"/>
  </si>
  <si>
    <t>비철금속</t>
    <phoneticPr fontId="2" type="noConversion"/>
  </si>
  <si>
    <t>펄프, 제지 및 인쇄</t>
    <phoneticPr fontId="2" type="noConversion"/>
  </si>
  <si>
    <t xml:space="preserve">2030 NDC </t>
    <phoneticPr fontId="2" type="noConversion"/>
  </si>
  <si>
    <t>48% 감축안</t>
    <phoneticPr fontId="2" type="noConversion"/>
  </si>
  <si>
    <t>53% 감축안</t>
    <phoneticPr fontId="2" type="noConversion"/>
  </si>
  <si>
    <t>61% 감축안</t>
    <phoneticPr fontId="2" type="noConversion"/>
  </si>
  <si>
    <t>65% 감축안</t>
    <phoneticPr fontId="2" type="noConversion"/>
  </si>
  <si>
    <t>에너지 수입 의존도</t>
    <phoneticPr fontId="46" type="noConversion"/>
  </si>
  <si>
    <t>전국 사용량(MWh)</t>
    <phoneticPr fontId="46" type="noConversion"/>
  </si>
  <si>
    <t>수도권 사용량(MWh)</t>
    <phoneticPr fontId="46" type="noConversion"/>
  </si>
  <si>
    <t>수도권 사용 비율(%)</t>
    <phoneticPr fontId="46" type="noConversion"/>
  </si>
  <si>
    <t>연도</t>
    <phoneticPr fontId="2" type="noConversion"/>
  </si>
  <si>
    <t>그림 7-1. 한국의 연평균 기온과 극한기후 발생 일수, 1981-2024</t>
    <phoneticPr fontId="2" type="noConversion"/>
  </si>
  <si>
    <t>출처: 기상청(KMA), 종관기상관측(ASOS) 지점별 일간 자료.</t>
    <phoneticPr fontId="2" type="noConversion"/>
  </si>
  <si>
    <t xml:space="preserve">    2) 사망자 비율 = (재해 원인별 사망자 수 ÷ 전체 사망자 수) × 100.</t>
    <phoneticPr fontId="2" type="noConversion"/>
  </si>
  <si>
    <t>주: 1) 피해액 비율 = (재해 원인별 피해액 ÷ 전체 피해액) × 100. 피해액은 공공과 민간의 재산 피해 복구 비용을 포함한 직접 경제적 손실을 기준으로 하며, 간접손실(생산성 저하, 보험 미반영 손실 등)은 포함되지 않음.</t>
    <phoneticPr fontId="2" type="noConversion"/>
  </si>
  <si>
    <r>
      <t xml:space="preserve">출처: 행정안전부, </t>
    </r>
    <r>
      <rPr>
        <sz val="10"/>
        <rFont val="맑은 고딕"/>
        <family val="2"/>
        <charset val="129"/>
        <scheme val="minor"/>
      </rPr>
      <t>｢</t>
    </r>
    <r>
      <rPr>
        <sz val="10"/>
        <rFont val="맑은 고딕"/>
        <family val="3"/>
        <charset val="129"/>
        <scheme val="minor"/>
      </rPr>
      <t>자연재해현황</t>
    </r>
    <r>
      <rPr>
        <sz val="10"/>
        <rFont val="맑은 고딕"/>
        <family val="2"/>
        <charset val="129"/>
        <scheme val="minor"/>
      </rPr>
      <t>｣</t>
    </r>
    <r>
      <rPr>
        <sz val="10"/>
        <rFont val="맑은 고딕"/>
        <family val="3"/>
        <charset val="129"/>
        <scheme val="minor"/>
      </rPr>
      <t>.</t>
    </r>
    <phoneticPr fontId="2" type="noConversion"/>
  </si>
  <si>
    <t>표 7-1. 자연재해 원인별 피해액 비율과 사망자 비율, 2020-2024</t>
    <phoneticPr fontId="2" type="noConversion"/>
  </si>
  <si>
    <t>재해 
원인</t>
    <phoneticPr fontId="2" type="noConversion"/>
  </si>
  <si>
    <t>(%)</t>
    <phoneticPr fontId="2" type="noConversion"/>
  </si>
  <si>
    <t>주: 1) 부문별 온실가스 배출량 비율 = (부문별 온실가스 배출량 ÷ 전체 온실가스 순배출량) × 100. 순배출량은 온실가스 총배출량에서 산림 등 흡수원의 흡수량을 차감한 배출량임.</t>
    <phoneticPr fontId="2" type="noConversion"/>
  </si>
  <si>
    <t>출처: 기후에너지환경부 온실가스종합정보센터, ｢2025년 국가 온실가스 인벤토리(1990-2023)(’06 IPCC 지침)｣.</t>
    <phoneticPr fontId="2" type="noConversion"/>
  </si>
  <si>
    <t xml:space="preserve">    2) 전력 부문 배출량은 전기와 열 생산으로 인한 에너지 산업의 배출량임.</t>
    <phoneticPr fontId="2" type="noConversion"/>
  </si>
  <si>
    <t xml:space="preserve">    3) 산업 부문 배출량은 제조업과 건설업 부문에서 가동되는 각종 설비의 연료 연소로 인한 배출량임.</t>
    <phoneticPr fontId="2" type="noConversion"/>
  </si>
  <si>
    <t xml:space="preserve">    4) 수송 부문 배출량은 도로 수송, 국내 항공, 철도, 해운 등 모든 국내 교통수단의 연료 연소 배출량임.</t>
    <phoneticPr fontId="2" type="noConversion"/>
  </si>
  <si>
    <t xml:space="preserve">    5) 건물 부문 배출량은 상업·공공, 가정 및 기타 미분류 부문에서 발생하는 연료 연소 배출량임.</t>
    <phoneticPr fontId="2" type="noConversion"/>
  </si>
  <si>
    <t>그림 7-2. 부문별 온실가스 배출량 비율, 1990-2023</t>
    <phoneticPr fontId="2" type="noConversion"/>
  </si>
  <si>
    <t>주: 1) 산업 부문 업종별 온실가스 배출량 비율 = (업종별 온실가스 배출량 ÷ 산업 부문 온실가스 총배출량) × 100.</t>
    <phoneticPr fontId="2" type="noConversion"/>
  </si>
  <si>
    <t>그림 7-3. 산업 부문 업종별 온실가스 배출량 비율, 1998, 2023</t>
    <phoneticPr fontId="2" type="noConversion"/>
  </si>
  <si>
    <t>식음료품 가공 및 
담배 제조</t>
    <phoneticPr fontId="2" type="noConversion"/>
  </si>
  <si>
    <t>비금
속광물</t>
    <phoneticPr fontId="2" type="noConversion"/>
  </si>
  <si>
    <t>그림 7-4. 온실가스 순배출량과 2035 국가온실가스감축목표(NDC)</t>
    <phoneticPr fontId="2" type="noConversion"/>
  </si>
  <si>
    <t>(100만 톤)</t>
    <phoneticPr fontId="2" type="noConversion"/>
  </si>
  <si>
    <t>주: 1) 2023년과 2024년 배출량은 잠정치임.</t>
    <phoneticPr fontId="2" type="noConversion"/>
  </si>
  <si>
    <t>출처: 환경부 자료.</t>
    <phoneticPr fontId="2" type="noConversion"/>
  </si>
  <si>
    <t xml:space="preserve">    2) 53% 감축안은 2018년부터 2050년까지 일정 속도로 감축 시 해당하는 경로이고, 61% 감축안은 IPCC의 1.5℃ 목표에 부합하는 수준임.</t>
    <phoneticPr fontId="2" type="noConversion"/>
  </si>
  <si>
    <t>주: 1) 에너지원별 발전량 비율 = (에너지원별 발전량 ÷ 총발전량) × 100.</t>
    <phoneticPr fontId="2" type="noConversion"/>
  </si>
  <si>
    <t>출처: 한국전력공사, ｢한국전력통계｣.</t>
    <phoneticPr fontId="2" type="noConversion"/>
  </si>
  <si>
    <t xml:space="preserve">    2) 기타에는 유류, 양수, 증류탑폐열, 여열회수, 천연가스압터빈, 부생가스, 폐기물에너지가 포함됨.</t>
    <phoneticPr fontId="2" type="noConversion"/>
  </si>
  <si>
    <t>그림 7-5. 에너지원별 발전량 비율, 2017-2024</t>
    <phoneticPr fontId="2" type="noConversion"/>
  </si>
  <si>
    <t>그림 7-6. 재생에너지원별 발전량 비율, 2018-2024</t>
    <phoneticPr fontId="2" type="noConversion"/>
  </si>
  <si>
    <t>주: 1) 재생에너지원별 발전량 비율 = (재생에너지원별 발전량 ÷ 재생에너지 총발전량) × 100. 재생에너지 총발전량은 부생가스, 매립가스, 연료전지, 석탄액화가스를 제외한 나머지 에너지원의 발전량임.</t>
    <phoneticPr fontId="2" type="noConversion"/>
  </si>
  <si>
    <t>그림 7-7. 에너지 수입 의존도와 석유 의존도, 1995-2024</t>
    <phoneticPr fontId="2" type="noConversion"/>
  </si>
  <si>
    <t>주: 1) 에너지 수입 의존도 = ((에너지 수입량 – 에너지 수출량) ÷ 1차 에너지 총공급량) × 100.</t>
    <phoneticPr fontId="2" type="noConversion"/>
  </si>
  <si>
    <t>출처: 에너지경제연구원, ｢에너지통계월보(2025.12)｣.</t>
    <phoneticPr fontId="2" type="noConversion"/>
  </si>
  <si>
    <t xml:space="preserve">    2) 석유 의존도 = (석유 제품 공급량 ÷ 1차 에너지 총공급량) × 100.</t>
    <phoneticPr fontId="2" type="noConversion"/>
  </si>
  <si>
    <t xml:space="preserve">    3) 2024년은 잠정치임.</t>
    <phoneticPr fontId="2" type="noConversion"/>
  </si>
  <si>
    <t>출처: 한국전력공사 자료.</t>
    <phoneticPr fontId="2" type="noConversion"/>
  </si>
  <si>
    <t>그림 7-8. 전국 및 수도권 데이터센터 전력 사용량과 수도권 사용량 비율, 2021, 2022, 2023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</si>
</sst>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76" formatCode="&quot;On&quot;;&quot;On&quot;;&quot;Off&quot;"/>
    <numFmt numFmtId="177" formatCode="0.0"/>
    <numFmt numFmtId="178" formatCode="#,##0.0,_)"/>
    <numFmt numFmtId="179" formatCode="#\ ###\ ##0"/>
    <numFmt numFmtId="180" formatCode="General_)"/>
    <numFmt numFmtId="181" formatCode="_-* #,##0.00\ _F_-;\-* #,##0.00\ _F_-;_-* &quot;-&quot;??\ _F_-;_-@_-"/>
    <numFmt numFmtId="182" formatCode="&quot;kr&quot;\ #,##0;[Red]&quot;kr&quot;\ \-#,##0"/>
    <numFmt numFmtId="183" formatCode="_(* #,##0.000_);_(* \(#,##0.000\);_(* &quot;-&quot;??_);_(@_)"/>
    <numFmt numFmtId="184" formatCode="#,##0."/>
    <numFmt numFmtId="185" formatCode="&quot;$&quot;#."/>
    <numFmt numFmtId="186" formatCode="_-* #,##0.00\ [$€]_-;\-* #,##0.00\ [$€]_-;_-* &quot;-&quot;??\ [$€]_-;_-@_-"/>
    <numFmt numFmtId="187" formatCode="#.00"/>
    <numFmt numFmtId="188" formatCode="_-* #,##0\ _F_B_-;\-* #,##0\ _F_B_-;_-* &quot;-&quot;\ _F_B_-;_-@_-"/>
    <numFmt numFmtId="189" formatCode="_-* #,##0.00\ _F_B_-;\-* #,##0.00\ _F_B_-;_-* &quot;-&quot;??\ _F_B_-;_-@_-"/>
    <numFmt numFmtId="190" formatCode="_-* #,##0\ &quot;FB&quot;_-;\-* #,##0\ &quot;FB&quot;_-;_-* &quot;-&quot;\ &quot;FB&quot;_-;_-@_-"/>
    <numFmt numFmtId="191" formatCode="_-* #,##0.00\ &quot;FB&quot;_-;\-* #,##0.00\ &quot;FB&quot;_-;_-* &quot;-&quot;??\ &quot;FB&quot;_-;_-@_-"/>
    <numFmt numFmtId="192" formatCode="_(&quot;$&quot;* #,##0_);_(&quot;$&quot;* \(#,##0\);_(&quot;$&quot;* &quot;-&quot;_);_(@_)"/>
    <numFmt numFmtId="193" formatCode="_(&quot;$&quot;* #,##0.00_);_(&quot;$&quot;* \(#,##0.00\);_(&quot;$&quot;* &quot;-&quot;??_);_(@_)"/>
  </numFmts>
  <fonts count="49">
    <font>
      <sz val="11"/>
      <color theme="1"/>
      <name val="돋움체"/>
      <family val="2"/>
      <charset val="129"/>
    </font>
    <font>
      <sz val="11"/>
      <color theme="1"/>
      <name val="맑은 고딕"/>
      <family val="2"/>
      <charset val="129"/>
      <scheme val="minor"/>
    </font>
    <font>
      <sz val="8"/>
      <name val="돋움체"/>
      <family val="2"/>
      <charset val="129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7"/>
      <name val="Arial"/>
      <family val="2"/>
    </font>
    <font>
      <sz val="10"/>
      <name val="Arial CE"/>
      <family val="2"/>
      <charset val="238"/>
    </font>
    <font>
      <sz val="10"/>
      <name val="Times New Roman"/>
      <family val="1"/>
    </font>
    <font>
      <sz val="11"/>
      <name val="ＭＳ Ｐゴシック"/>
      <family val="2"/>
      <charset val="128"/>
    </font>
    <font>
      <sz val="11"/>
      <name val="Times New Roman"/>
      <family val="1"/>
    </font>
    <font>
      <u/>
      <sz val="10"/>
      <color indexed="12"/>
      <name val="Arial"/>
      <family val="2"/>
    </font>
    <font>
      <sz val="8"/>
      <name val="MS Sans Serif"/>
      <family val="2"/>
    </font>
    <font>
      <sz val="12"/>
      <name val="Courier"/>
      <family val="3"/>
    </font>
    <font>
      <u/>
      <sz val="6"/>
      <color indexed="12"/>
      <name val="MS Sans Serif"/>
      <family val="2"/>
    </font>
    <font>
      <sz val="10"/>
      <name val="Plantin"/>
      <family val="2"/>
    </font>
    <font>
      <sz val="10"/>
      <name val="MS Sans Serif"/>
      <family val="2"/>
    </font>
    <font>
      <sz val="7"/>
      <name val="Helv"/>
      <family val="2"/>
    </font>
    <font>
      <sz val="10"/>
      <name val="Helvetica"/>
      <family val="2"/>
    </font>
    <font>
      <sz val="1"/>
      <color indexed="8"/>
      <name val="Courier"/>
      <family val="3"/>
    </font>
    <font>
      <u/>
      <sz val="8"/>
      <color indexed="12"/>
      <name val="MS Sans Serif"/>
      <family val="2"/>
    </font>
    <font>
      <sz val="10"/>
      <name val="Courier"/>
      <family val="3"/>
    </font>
    <font>
      <b/>
      <sz val="10"/>
      <color indexed="8"/>
      <name val="Times New Roman"/>
      <family val="1"/>
    </font>
    <font>
      <u/>
      <sz val="10"/>
      <color indexed="36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u/>
      <sz val="10"/>
      <color theme="10"/>
      <name val="Arial"/>
      <family val="2"/>
    </font>
    <font>
      <u/>
      <sz val="8"/>
      <color theme="10"/>
      <name val="MS Sans Serif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8"/>
      <color theme="3"/>
      <name val="맑은 고딕"/>
      <family val="2"/>
      <scheme val="major"/>
    </font>
    <font>
      <sz val="10"/>
      <color rgb="FFFF0000"/>
      <name val="Arial"/>
      <family val="2"/>
    </font>
    <font>
      <sz val="11"/>
      <color theme="1"/>
      <name val="돋움체"/>
      <family val="2"/>
      <charset val="129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/>
      <diagonal/>
    </border>
  </borders>
  <cellStyleXfs count="23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/>
    <xf numFmtId="0" fontId="5" fillId="0" borderId="0"/>
    <xf numFmtId="0" fontId="5" fillId="0" borderId="0"/>
    <xf numFmtId="0" fontId="7" fillId="0" borderId="0"/>
    <xf numFmtId="177" fontId="19" fillId="0" borderId="0" applyBorder="0"/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1" fontId="19" fillId="0" borderId="0" applyBorder="0"/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182" fontId="20" fillId="0" borderId="0" applyFont="0" applyFill="0" applyBorder="0" applyAlignment="0" applyProtection="0"/>
    <xf numFmtId="1" fontId="21" fillId="0" borderId="0">
      <alignment horizontal="right"/>
      <protection locked="0"/>
    </xf>
    <xf numFmtId="178" fontId="10" fillId="0" borderId="0" applyFill="0" applyBorder="0" applyProtection="0"/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30" fillId="6" borderId="4" applyNumberFormat="0" applyAlignment="0" applyProtection="0">
      <alignment vertical="center"/>
    </xf>
    <xf numFmtId="0" fontId="30" fillId="6" borderId="4" applyNumberFormat="0" applyAlignment="0" applyProtection="0">
      <alignment vertical="center"/>
    </xf>
    <xf numFmtId="0" fontId="31" fillId="7" borderId="7" applyNumberFormat="0" applyAlignment="0" applyProtection="0">
      <alignment vertical="center"/>
    </xf>
    <xf numFmtId="0" fontId="31" fillId="7" borderId="7" applyNumberFormat="0" applyAlignment="0" applyProtection="0">
      <alignment vertical="center"/>
    </xf>
    <xf numFmtId="43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84" fontId="23" fillId="0" borderId="0">
      <protection locked="0"/>
    </xf>
    <xf numFmtId="185" fontId="23" fillId="0" borderId="0">
      <protection locked="0"/>
    </xf>
    <xf numFmtId="0" fontId="23" fillId="0" borderId="0">
      <protection locked="0"/>
    </xf>
    <xf numFmtId="186" fontId="23" fillId="0" borderId="0">
      <protection locked="0"/>
    </xf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" fontId="21" fillId="0" borderId="0" applyFill="0" applyBorder="0" applyAlignment="0" applyProtection="0"/>
    <xf numFmtId="186" fontId="5" fillId="0" borderId="0" applyFont="0" applyFill="0" applyBorder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187" fontId="23" fillId="0" borderId="0">
      <protection locked="0"/>
    </xf>
    <xf numFmtId="0" fontId="33" fillId="2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14" fillId="0" borderId="0"/>
    <xf numFmtId="186" fontId="14" fillId="0" borderId="0"/>
    <xf numFmtId="0" fontId="23" fillId="0" borderId="0">
      <protection locked="0"/>
    </xf>
    <xf numFmtId="186" fontId="23" fillId="0" borderId="0">
      <protection locked="0"/>
    </xf>
    <xf numFmtId="0" fontId="23" fillId="0" borderId="0">
      <protection locked="0"/>
    </xf>
    <xf numFmtId="186" fontId="23" fillId="0" borderId="0">
      <protection locked="0"/>
    </xf>
    <xf numFmtId="186" fontId="23" fillId="0" borderId="0">
      <protection locked="0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23" fillId="0" borderId="0">
      <protection locked="0"/>
    </xf>
    <xf numFmtId="186" fontId="23" fillId="0" borderId="0">
      <protection locked="0"/>
    </xf>
    <xf numFmtId="0" fontId="23" fillId="0" borderId="0">
      <protection locked="0"/>
    </xf>
    <xf numFmtId="186" fontId="23" fillId="0" borderId="0">
      <protection locked="0"/>
    </xf>
    <xf numFmtId="186" fontId="23" fillId="0" borderId="0">
      <protection locked="0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1" fillId="0" borderId="0">
      <protection locked="0"/>
    </xf>
    <xf numFmtId="186" fontId="21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86" fontId="37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186" fontId="15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86" fontId="38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186" fontId="18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186" fontId="15" fillId="0" borderId="0" applyNumberFormat="0" applyFill="0" applyBorder="0" applyAlignment="0" applyProtection="0">
      <alignment vertical="top"/>
      <protection locked="0"/>
    </xf>
    <xf numFmtId="0" fontId="39" fillId="5" borderId="4" applyNumberFormat="0" applyAlignment="0" applyProtection="0">
      <alignment vertical="center"/>
    </xf>
    <xf numFmtId="0" fontId="39" fillId="5" borderId="4" applyNumberFormat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25" fillId="0" borderId="0"/>
    <xf numFmtId="186" fontId="25" fillId="0" borderId="0"/>
    <xf numFmtId="180" fontId="17" fillId="0" borderId="0"/>
    <xf numFmtId="180" fontId="17" fillId="0" borderId="0"/>
    <xf numFmtId="0" fontId="5" fillId="0" borderId="0"/>
    <xf numFmtId="0" fontId="7" fillId="0" borderId="0"/>
    <xf numFmtId="186" fontId="7" fillId="0" borderId="0"/>
    <xf numFmtId="0" fontId="8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0" fontId="16" fillId="0" borderId="0"/>
    <xf numFmtId="186" fontId="16" fillId="0" borderId="0"/>
    <xf numFmtId="186" fontId="16" fillId="0" borderId="0"/>
    <xf numFmtId="0" fontId="16" fillId="0" borderId="0"/>
    <xf numFmtId="0" fontId="16" fillId="0" borderId="0"/>
    <xf numFmtId="0" fontId="5" fillId="0" borderId="0"/>
    <xf numFmtId="180" fontId="17" fillId="0" borderId="0"/>
    <xf numFmtId="180" fontId="17" fillId="0" borderId="0"/>
    <xf numFmtId="0" fontId="5" fillId="0" borderId="0"/>
    <xf numFmtId="180" fontId="17" fillId="0" borderId="0"/>
    <xf numFmtId="180" fontId="17" fillId="0" borderId="0"/>
    <xf numFmtId="0" fontId="5" fillId="0" borderId="0"/>
    <xf numFmtId="180" fontId="17" fillId="0" borderId="0"/>
    <xf numFmtId="180" fontId="17" fillId="0" borderId="0"/>
    <xf numFmtId="0" fontId="16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0" fontId="5" fillId="0" borderId="0"/>
    <xf numFmtId="0" fontId="5" fillId="0" borderId="0"/>
    <xf numFmtId="0" fontId="5" fillId="0" borderId="0"/>
    <xf numFmtId="186" fontId="16" fillId="0" borderId="0"/>
    <xf numFmtId="0" fontId="16" fillId="0" borderId="0"/>
    <xf numFmtId="0" fontId="16" fillId="0" borderId="0"/>
    <xf numFmtId="0" fontId="16" fillId="0" borderId="0"/>
    <xf numFmtId="0" fontId="11" fillId="0" borderId="0"/>
    <xf numFmtId="0" fontId="5" fillId="0" borderId="0"/>
    <xf numFmtId="0" fontId="5" fillId="0" borderId="0"/>
    <xf numFmtId="0" fontId="19" fillId="0" borderId="0"/>
    <xf numFmtId="186" fontId="19" fillId="0" borderId="0"/>
    <xf numFmtId="0" fontId="9" fillId="0" borderId="0"/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42" fillId="6" borderId="5" applyNumberFormat="0" applyAlignment="0" applyProtection="0">
      <alignment vertical="center"/>
    </xf>
    <xf numFmtId="0" fontId="42" fillId="6" borderId="5" applyNumberFormat="0" applyAlignment="0" applyProtection="0">
      <alignment vertical="center"/>
    </xf>
    <xf numFmtId="9" fontId="5" fillId="0" borderId="0" applyFont="0" applyFill="0" applyBorder="0" applyAlignment="0" applyProtection="0"/>
    <xf numFmtId="180" fontId="26" fillId="0" borderId="0"/>
    <xf numFmtId="0" fontId="27" fillId="0" borderId="0" applyNumberFormat="0" applyFill="0" applyBorder="0" applyAlignment="0" applyProtection="0">
      <alignment vertical="top"/>
      <protection locked="0"/>
    </xf>
    <xf numFmtId="186" fontId="27" fillId="0" borderId="0" applyNumberFormat="0" applyFill="0" applyBorder="0" applyAlignment="0" applyProtection="0">
      <alignment vertical="top"/>
      <protection locked="0"/>
    </xf>
    <xf numFmtId="2" fontId="12" fillId="0" borderId="0" applyBorder="0">
      <alignment horizontal="right"/>
    </xf>
    <xf numFmtId="2" fontId="12" fillId="0" borderId="0" applyNumberFormat="0" applyBorder="0" applyAlignment="0"/>
    <xf numFmtId="176" fontId="12" fillId="0" borderId="0" applyNumberFormat="0" applyBorder="0" applyAlignment="0"/>
    <xf numFmtId="0" fontId="5" fillId="0" borderId="0"/>
    <xf numFmtId="179" fontId="21" fillId="0" borderId="0">
      <alignment horizontal="right"/>
      <protection locked="0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3" fillId="0" borderId="10">
      <protection locked="0"/>
    </xf>
    <xf numFmtId="186" fontId="23" fillId="0" borderId="10">
      <protection locked="0"/>
    </xf>
    <xf numFmtId="0" fontId="23" fillId="0" borderId="10">
      <protection locked="0"/>
    </xf>
    <xf numFmtId="186" fontId="23" fillId="0" borderId="10">
      <protection locked="0"/>
    </xf>
    <xf numFmtId="186" fontId="23" fillId="0" borderId="10">
      <protection locked="0"/>
    </xf>
    <xf numFmtId="0" fontId="6" fillId="0" borderId="9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188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8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2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12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47" fillId="0" borderId="0" xfId="0" applyFont="1" applyFill="1" applyBorder="1">
      <alignment vertical="center"/>
    </xf>
    <xf numFmtId="0" fontId="47" fillId="0" borderId="0" xfId="0" applyFont="1" applyFill="1" applyBorder="1" applyAlignment="1">
      <alignment horizontal="right" vertical="center"/>
    </xf>
    <xf numFmtId="0" fontId="47" fillId="0" borderId="0" xfId="0" applyFont="1" applyFill="1" applyBorder="1" applyAlignment="1">
      <alignment horizontal="center" vertical="center"/>
    </xf>
    <xf numFmtId="177" fontId="47" fillId="0" borderId="0" xfId="0" applyNumberFormat="1" applyFont="1" applyFill="1" applyBorder="1">
      <alignment vertical="center"/>
    </xf>
    <xf numFmtId="49" fontId="47" fillId="0" borderId="0" xfId="0" applyNumberFormat="1" applyFont="1" applyFill="1" applyBorder="1" applyAlignment="1">
      <alignment horizontal="center" vertical="center" wrapText="1"/>
    </xf>
    <xf numFmtId="177" fontId="47" fillId="0" borderId="0" xfId="0" applyNumberFormat="1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 wrapText="1"/>
    </xf>
    <xf numFmtId="0" fontId="47" fillId="0" borderId="0" xfId="0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vertical="center"/>
    </xf>
    <xf numFmtId="0" fontId="47" fillId="0" borderId="0" xfId="0" applyFont="1" applyFill="1" applyBorder="1" applyAlignment="1">
      <alignment horizontal="center" vertical="center" wrapText="1"/>
    </xf>
    <xf numFmtId="177" fontId="47" fillId="0" borderId="0" xfId="0" applyNumberFormat="1" applyFont="1" applyFill="1" applyBorder="1" applyAlignment="1">
      <alignment horizontal="right" vertical="center" wrapText="1"/>
    </xf>
    <xf numFmtId="0" fontId="47" fillId="0" borderId="0" xfId="0" applyFont="1" applyFill="1" applyBorder="1" applyAlignment="1">
      <alignment horizontal="center" vertical="center" wrapText="1"/>
    </xf>
    <xf numFmtId="0" fontId="47" fillId="0" borderId="0" xfId="0" applyFont="1" applyFill="1" applyBorder="1" applyAlignment="1">
      <alignment horizontal="center" vertical="center"/>
    </xf>
    <xf numFmtId="177" fontId="47" fillId="0" borderId="0" xfId="0" applyNumberFormat="1" applyFont="1" applyFill="1" applyBorder="1" applyAlignment="1">
      <alignment vertical="center"/>
    </xf>
    <xf numFmtId="177" fontId="47" fillId="0" borderId="0" xfId="229" applyNumberFormat="1" applyFont="1" applyFill="1" applyBorder="1" applyAlignment="1">
      <alignment horizontal="right" vertical="center" indent="1"/>
    </xf>
    <xf numFmtId="177" fontId="47" fillId="0" borderId="0" xfId="0" applyNumberFormat="1" applyFont="1" applyFill="1" applyBorder="1" applyAlignment="1">
      <alignment horizontal="right" vertical="center" indent="1"/>
    </xf>
    <xf numFmtId="177" fontId="47" fillId="0" borderId="0" xfId="229" applyNumberFormat="1" applyFont="1" applyFill="1" applyBorder="1" applyAlignment="1">
      <alignment horizontal="center" vertical="center"/>
    </xf>
    <xf numFmtId="177" fontId="47" fillId="0" borderId="0" xfId="228" applyNumberFormat="1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 wrapText="1"/>
    </xf>
  </cellXfs>
  <cellStyles count="230">
    <cellStyle name="1dec" xfId="7" xr:uid="{0D1CE018-5457-4E91-AC2C-09E4CA32045B}"/>
    <cellStyle name="20% - Accent1 2" xfId="8" xr:uid="{B6CBA161-7E51-4C8E-8496-AFEBDB3EC543}"/>
    <cellStyle name="20% - Accent1 3" xfId="9" xr:uid="{8184C39B-9F95-4B91-A3E3-46D237957CE1}"/>
    <cellStyle name="20% - Accent2 2" xfId="10" xr:uid="{9787C7E5-F6D4-40BE-BC07-EC80FFE705A3}"/>
    <cellStyle name="20% - Accent2 3" xfId="11" xr:uid="{14F83E17-616B-4D02-AFAB-0C98CC73C803}"/>
    <cellStyle name="20% - Accent3 2" xfId="12" xr:uid="{FB202239-AF7C-4528-B6A4-D699E7B46500}"/>
    <cellStyle name="20% - Accent3 3" xfId="13" xr:uid="{728F31D9-12B7-4CA7-9AE2-FFE170B029E1}"/>
    <cellStyle name="20% - Accent4 2" xfId="14" xr:uid="{5B10B9A7-E72F-40A4-868D-1F62B170E531}"/>
    <cellStyle name="20% - Accent4 3" xfId="15" xr:uid="{A83CF053-8350-4F6A-A5F9-0B2DD2F78D5B}"/>
    <cellStyle name="20% - Accent5 2" xfId="16" xr:uid="{A105667C-5E49-4AB2-B9DE-EF464E179800}"/>
    <cellStyle name="20% - Accent5 3" xfId="17" xr:uid="{9F59318B-E5FE-45BA-AB05-E958A95B17D7}"/>
    <cellStyle name="20% - Accent6 2" xfId="18" xr:uid="{627338C1-1130-44CC-A12D-CEB268A6B279}"/>
    <cellStyle name="20% - Accent6 3" xfId="19" xr:uid="{0D43EF75-3637-499F-83CF-C91D1143D412}"/>
    <cellStyle name="40% - Accent1 2" xfId="20" xr:uid="{C64AF6D3-6593-4F96-B9BA-DC762813F99B}"/>
    <cellStyle name="40% - Accent1 3" xfId="21" xr:uid="{1D7AC12C-5505-4B3A-A39B-6D2E2CC85CDB}"/>
    <cellStyle name="40% - Accent2 2" xfId="22" xr:uid="{8603511A-4568-493F-95F5-9F8CEB11FCC5}"/>
    <cellStyle name="40% - Accent2 3" xfId="23" xr:uid="{7707192D-82F7-49B4-BEBE-659327CE956D}"/>
    <cellStyle name="40% - Accent3 2" xfId="24" xr:uid="{DD33145E-2846-41B0-BFCD-E4AB678DC4DE}"/>
    <cellStyle name="40% - Accent3 3" xfId="25" xr:uid="{EE428426-3C1E-4174-B94C-03BE71080378}"/>
    <cellStyle name="40% - Accent4 2" xfId="26" xr:uid="{1A3746BF-744D-430A-935C-C9B4C7279254}"/>
    <cellStyle name="40% - Accent4 3" xfId="27" xr:uid="{CE70B56F-CE7E-4353-B012-B535C49F17B8}"/>
    <cellStyle name="40% - Accent5 2" xfId="28" xr:uid="{BA411DBC-2D8E-4F5F-BF97-781CFD8D906C}"/>
    <cellStyle name="40% - Accent5 3" xfId="29" xr:uid="{74F68B1D-5925-4610-B32B-CE62CE4BE7C4}"/>
    <cellStyle name="40% - Accent6 2" xfId="30" xr:uid="{8D11C058-D2C0-4DBF-BD33-8E7AD35D32D0}"/>
    <cellStyle name="40% - Accent6 3" xfId="31" xr:uid="{85C861FC-3F6C-4D91-B06E-B0CB86D9A07F}"/>
    <cellStyle name="60% - Accent1 2" xfId="32" xr:uid="{31527201-BE3B-408B-889C-5404B1A7C323}"/>
    <cellStyle name="60% - Accent1 3" xfId="33" xr:uid="{76B932FD-A3B7-4399-9B8B-81E5FFA66786}"/>
    <cellStyle name="60% - Accent2 2" xfId="34" xr:uid="{88D7FB5B-C79A-41F3-AD1E-B0431EA47218}"/>
    <cellStyle name="60% - Accent2 3" xfId="35" xr:uid="{5AEBA4B3-A8BD-4A10-AEB8-7615725B8C86}"/>
    <cellStyle name="60% - Accent3 2" xfId="36" xr:uid="{BAD9BFD2-7462-4C3C-B419-25A52AF32DDC}"/>
    <cellStyle name="60% - Accent3 3" xfId="37" xr:uid="{320890AC-01F2-4DE0-BAA5-3939090BF78C}"/>
    <cellStyle name="60% - Accent4 2" xfId="38" xr:uid="{D90E6C93-9F9D-4DA7-9650-C5BDB909842D}"/>
    <cellStyle name="60% - Accent4 3" xfId="39" xr:uid="{8AB3720C-F817-4A73-822F-9CEACB519FD8}"/>
    <cellStyle name="60% - Accent5 2" xfId="40" xr:uid="{188859B7-022B-4FF9-A204-1C5F4D4EF74D}"/>
    <cellStyle name="60% - Accent5 3" xfId="41" xr:uid="{19D5F157-48EC-458B-8FF5-9FE7CDE67430}"/>
    <cellStyle name="60% - Accent6 2" xfId="42" xr:uid="{C4ADFD67-36D3-4710-8E54-70E304E99AEA}"/>
    <cellStyle name="60% - Accent6 3" xfId="43" xr:uid="{541CD7CF-B003-4BA3-B236-82157A39D3DF}"/>
    <cellStyle name="A" xfId="44" xr:uid="{4C6C215E-090C-4011-B070-929EF7BE0669}"/>
    <cellStyle name="Accent1 2" xfId="45" xr:uid="{3B294F5A-C636-4D75-86B2-080B3CDE04FF}"/>
    <cellStyle name="Accent1 3" xfId="46" xr:uid="{2A4EE3EB-2E86-432F-B179-66E55A880AA2}"/>
    <cellStyle name="Accent2 2" xfId="47" xr:uid="{2CB41FDB-B127-4EC5-BCB5-BE97041DACB1}"/>
    <cellStyle name="Accent2 3" xfId="48" xr:uid="{D1DB9439-26F2-4130-B005-EA991FA499D4}"/>
    <cellStyle name="Accent3 2" xfId="49" xr:uid="{58B1AB56-F5E4-4FB0-B261-D066CB4A493F}"/>
    <cellStyle name="Accent3 3" xfId="50" xr:uid="{8A0FE06A-D80E-4AAA-9634-1718E6878D47}"/>
    <cellStyle name="Accent4 2" xfId="51" xr:uid="{BDE17DDF-7E7A-4986-9DC1-063143DF43D4}"/>
    <cellStyle name="Accent4 3" xfId="52" xr:uid="{2782C077-2C42-46F3-90EB-92887F76340B}"/>
    <cellStyle name="Accent5 2" xfId="53" xr:uid="{FE7F118F-5054-41BD-9FAF-4B18A86DBC15}"/>
    <cellStyle name="Accent5 3" xfId="54" xr:uid="{A245809C-54BA-4C23-AD54-C2D1B7EEFC70}"/>
    <cellStyle name="Accent6 2" xfId="55" xr:uid="{3C0B4F3F-2B1F-4DAC-82EF-34AA2D5C35A1}"/>
    <cellStyle name="Accent6 3" xfId="56" xr:uid="{48559E9D-B834-437F-8EED-37E15E508961}"/>
    <cellStyle name="Afrundet valuta_MEAN92" xfId="57" xr:uid="{63AEE4CF-14BB-4754-A19E-BA422118C5C7}"/>
    <cellStyle name="årstal" xfId="58" xr:uid="{0CEDB616-D4DD-4C68-824E-71EE33DCC047}"/>
    <cellStyle name="AZ1" xfId="59" xr:uid="{A7F86379-17AF-4D4F-9E3B-E02318BBA3AE}"/>
    <cellStyle name="Bad 2" xfId="60" xr:uid="{D693A2B0-3DFF-4F39-AB30-4BEBFFEDCBBA}"/>
    <cellStyle name="Bad 3" xfId="61" xr:uid="{76B6A19F-023C-4A68-8A97-2A2921581E1A}"/>
    <cellStyle name="Calculation 2" xfId="62" xr:uid="{7ACCD772-6CF7-4FB6-BB40-70B69FDB7D3A}"/>
    <cellStyle name="Calculation 3" xfId="63" xr:uid="{A716F42B-A295-48C6-A041-E57071CB9B1E}"/>
    <cellStyle name="Check Cell 2" xfId="64" xr:uid="{AE0286D2-9B25-4945-848C-5BAAC05EF9A4}"/>
    <cellStyle name="Check Cell 3" xfId="65" xr:uid="{DC957661-1780-48A3-89D5-121BAF7D31F9}"/>
    <cellStyle name="Comma 2" xfId="66" xr:uid="{D0667A19-1348-41F5-B62A-11E29D9DB8BF}"/>
    <cellStyle name="Comma 2 2" xfId="67" xr:uid="{E6B37EE9-A774-4936-AAA1-94E2D2BF279F}"/>
    <cellStyle name="Comma 3" xfId="68" xr:uid="{D5689532-87CE-4111-AAE2-24EE8F70387B}"/>
    <cellStyle name="Comma 3 2" xfId="69" xr:uid="{0F55E244-4423-41D5-A8CE-B44B0ABFEC31}"/>
    <cellStyle name="Comma 3 3" xfId="70" xr:uid="{151A165F-DFE7-4D2D-8AC2-A1028793563A}"/>
    <cellStyle name="Comma 4" xfId="71" xr:uid="{245C4263-FCBD-456D-9265-1470E3315BC0}"/>
    <cellStyle name="Comma 5" xfId="72" xr:uid="{713A0616-A9B2-4466-A512-46D7E5B642C6}"/>
    <cellStyle name="Comma0" xfId="73" xr:uid="{4B022146-B53A-4FA3-9BC9-EFCF9CBCA51E}"/>
    <cellStyle name="Currency0" xfId="74" xr:uid="{3C4D5639-B95A-4138-9CE7-EC1D13BC931E}"/>
    <cellStyle name="Date" xfId="75" xr:uid="{2F0ED2A7-F745-4774-89DC-A71FFECF9849}"/>
    <cellStyle name="Date 2" xfId="76" xr:uid="{7F964011-0BF0-4245-B3E2-03590AC47D63}"/>
    <cellStyle name="Dezimal [0]_Check" xfId="77" xr:uid="{C0FFBCAA-503A-4421-9865-360590EC1754}"/>
    <cellStyle name="Dezimal_Check" xfId="78" xr:uid="{1A557FB1-B212-4349-9AC4-1977E1D23847}"/>
    <cellStyle name="dobComma" xfId="79" xr:uid="{FAE63B8F-9250-430F-8E22-51C84573E766}"/>
    <cellStyle name="Euro" xfId="80" xr:uid="{C62AA5D8-70A5-4AFA-ADC7-51040772F3B1}"/>
    <cellStyle name="Explanatory Text 2" xfId="81" xr:uid="{BB1DB6C2-A3B7-464E-988A-8BC2D9C3314C}"/>
    <cellStyle name="Explanatory Text 3" xfId="82" xr:uid="{330C9016-6A35-4ACA-ACB3-01B8CF9D0989}"/>
    <cellStyle name="Fixed" xfId="83" xr:uid="{155E09B5-D13C-42C3-ABEC-A98FA2EAC951}"/>
    <cellStyle name="Good 2" xfId="84" xr:uid="{445C37D4-13D6-4F8C-B980-92544C9533B5}"/>
    <cellStyle name="Good 3" xfId="85" xr:uid="{8DB1967A-682B-4F2B-8EBE-7B0689E86CAC}"/>
    <cellStyle name="Haus" xfId="86" xr:uid="{EB4B2200-BFE3-40EB-8AE8-70D71E58D70C}"/>
    <cellStyle name="Haus 2" xfId="87" xr:uid="{D61D5F54-4F3D-40D2-8BF1-3CC559D150D3}"/>
    <cellStyle name="Heading 1 2" xfId="88" xr:uid="{D07E8ECA-08CD-4BF6-8232-ABBCC447451F}"/>
    <cellStyle name="Heading 1 2 2" xfId="89" xr:uid="{5B296102-E971-45FD-B492-51A1E31A367C}"/>
    <cellStyle name="Heading 1 3" xfId="90" xr:uid="{BF191D26-2DFA-4A56-B140-B888EB6D7D6E}"/>
    <cellStyle name="Heading 1 3 2" xfId="91" xr:uid="{6DF743FD-FE04-4594-86C2-5005E7E43D1C}"/>
    <cellStyle name="Heading 1 4" xfId="92" xr:uid="{BD26F6A7-06E1-421C-B847-41C78D45BE73}"/>
    <cellStyle name="Heading 1 5" xfId="93" xr:uid="{41F0EB2C-6E9A-4048-8DA3-4871B0CE542A}"/>
    <cellStyle name="Heading 1 6" xfId="94" xr:uid="{FE87C132-CD7E-4D97-A77B-59BAE7321149}"/>
    <cellStyle name="Heading 2 2" xfId="95" xr:uid="{7B28323A-001E-41C7-B8A5-332A916D5DF1}"/>
    <cellStyle name="Heading 2 2 2" xfId="96" xr:uid="{B6A4AECA-6152-4DA9-8CEF-8BD13A20E984}"/>
    <cellStyle name="Heading 2 3" xfId="97" xr:uid="{E54F43BC-C42B-4CCE-B5EA-2B322760F6F7}"/>
    <cellStyle name="Heading 2 3 2" xfId="98" xr:uid="{9C703FD6-021E-4AD0-B108-82DBA7BAB3BA}"/>
    <cellStyle name="Heading 2 4" xfId="99" xr:uid="{B138807A-01CD-4017-97DF-E79D45EAA47C}"/>
    <cellStyle name="Heading 2 5" xfId="100" xr:uid="{8455785B-27CB-4D72-BB52-1B2382665FC3}"/>
    <cellStyle name="Heading 2 6" xfId="101" xr:uid="{CE282DC3-2EC0-4D41-BB3B-929C5E3CC553}"/>
    <cellStyle name="Heading 3 2" xfId="102" xr:uid="{8E14D539-C032-4949-A33F-DD7C94F0DE64}"/>
    <cellStyle name="Heading 3 3" xfId="103" xr:uid="{ED26FC0C-FA76-4F96-A7F9-FCD96AA2CC20}"/>
    <cellStyle name="Heading 4 2" xfId="104" xr:uid="{C670926A-2D68-427C-85C6-50792F80C14F}"/>
    <cellStyle name="Heading 4 3" xfId="105" xr:uid="{49A4CCF5-2304-42EA-9509-182B02578999}"/>
    <cellStyle name="Hovede" xfId="106" xr:uid="{99F1A9D7-9069-4A3E-A2F5-5FC6D701BEBE}"/>
    <cellStyle name="Hovede 2" xfId="107" xr:uid="{2E1F1515-3664-40A6-9C0D-1C6E676746C6}"/>
    <cellStyle name="Hyperlink 2" xfId="109" xr:uid="{32AFD6D8-2576-48E5-A8A1-93A72F1FCA7F}"/>
    <cellStyle name="Hyperlink 2 2" xfId="110" xr:uid="{1BAC93B2-DA5A-4153-8695-BC86AE4B53F5}"/>
    <cellStyle name="Hyperlink 2_Social Expenditure Outlook" xfId="111" xr:uid="{586434EB-5C96-45DE-8313-F92AA4647184}"/>
    <cellStyle name="Hyperlink 3" xfId="112" xr:uid="{3BBC030E-045F-48B9-9875-3B002D3E0785}"/>
    <cellStyle name="Hyperlink 3 2" xfId="113" xr:uid="{B5F17307-7140-4A7D-8774-F1ACFDA1BE54}"/>
    <cellStyle name="Hyperlink 4" xfId="114" xr:uid="{BDD0065A-3687-4D41-B20B-EB176AEAB8A9}"/>
    <cellStyle name="Hyperlink 4 2" xfId="115" xr:uid="{737BC189-2E18-451E-804A-A4AD7B017023}"/>
    <cellStyle name="Hyperlink 4_Social Expenditure Outlook" xfId="116" xr:uid="{2ECEBBD8-A223-4AAF-B160-EE28E7D96388}"/>
    <cellStyle name="Hyperlink 5" xfId="117" xr:uid="{60FB1BED-BC8A-434D-8DBC-9052087738F5}"/>
    <cellStyle name="Hypertextový odkaz" xfId="118" xr:uid="{AB9CD2C9-B0B4-4B11-8724-63004F090900}"/>
    <cellStyle name="Hypertextový odkaz 2" xfId="119" xr:uid="{3D1ACA4F-F0F5-486F-9756-34D66B59726D}"/>
    <cellStyle name="Input 2" xfId="120" xr:uid="{BEDB9ACF-5A9D-4BF3-AAB2-D410E2DA83ED}"/>
    <cellStyle name="Input 3" xfId="121" xr:uid="{DA9A1794-A9D0-4730-96A0-B22B0B512B6A}"/>
    <cellStyle name="Linked Cell 2" xfId="122" xr:uid="{A67A963D-BFF3-45FC-9C7E-F8E3B5FC941D}"/>
    <cellStyle name="Linked Cell 3" xfId="123" xr:uid="{F41D0BC3-A17C-4885-AA83-900CE5D970DC}"/>
    <cellStyle name="Neutral 2" xfId="124" xr:uid="{DA631501-CCA2-4ADB-BDBE-5FA735CA3EF8}"/>
    <cellStyle name="Neutral 3" xfId="125" xr:uid="{7FF0BC88-8809-434D-B340-6C4CCCB25AFC}"/>
    <cellStyle name="No-definido" xfId="126" xr:uid="{C42412F8-1D66-442B-8815-9BB21921DE96}"/>
    <cellStyle name="No-definido 2" xfId="127" xr:uid="{54D1DB86-611D-4ADD-9FD5-B337AFCC7B65}"/>
    <cellStyle name="Normal 10" xfId="128" xr:uid="{F3E9DB95-6B09-4AAB-B800-C1A70635FE52}"/>
    <cellStyle name="Normal 10 2" xfId="129" xr:uid="{31B69AE5-9B79-4F3D-A7C9-4BB0822C8093}"/>
    <cellStyle name="Normal 100" xfId="4" xr:uid="{F2CA1D94-1492-4371-B4A6-BFB8AC6118EC}"/>
    <cellStyle name="Normal 11" xfId="130" xr:uid="{0495BD04-CEF8-408D-A994-B0FBF4638072}"/>
    <cellStyle name="Normal 17" xfId="131" xr:uid="{4007061C-D77D-4DF7-8501-77CB44424B06}"/>
    <cellStyle name="Normal 17 2" xfId="132" xr:uid="{9195E6FC-30B5-4110-ABCF-FA0C7D33BFD3}"/>
    <cellStyle name="Normal 17_Social Expenditure Outlook" xfId="133" xr:uid="{E5E35479-344F-4F19-800C-7277B31DF08D}"/>
    <cellStyle name="Normal 2" xfId="5" xr:uid="{C53F7945-0F53-498E-A334-A763554E9F91}"/>
    <cellStyle name="Normal 2 10" xfId="134" xr:uid="{EBA83D63-9556-410F-B310-D6480C3883F6}"/>
    <cellStyle name="Normal 2 10 2" xfId="135" xr:uid="{52E91549-77AA-4B26-AD02-64A9F6D14657}"/>
    <cellStyle name="Normal 2 10_Social Expenditure Outlook" xfId="136" xr:uid="{236109D5-FB7B-42A6-A042-EFF5E98B1E04}"/>
    <cellStyle name="Normal 2 11" xfId="137" xr:uid="{3C50C279-D0CC-47FC-B979-4C05D31E1BC3}"/>
    <cellStyle name="Normal 2 11 2" xfId="138" xr:uid="{0AF51522-29D5-4076-B3FC-AE7B794DF95B}"/>
    <cellStyle name="Normal 2 11_Social Expenditure Outlook" xfId="139" xr:uid="{8E9DBB58-F614-466C-8E08-9D072DD73FBA}"/>
    <cellStyle name="Normal 2 12" xfId="140" xr:uid="{D87A14BA-273F-448E-BA39-0C80D732FD9C}"/>
    <cellStyle name="Normal 2 12 2" xfId="141" xr:uid="{62B43710-5DBB-4F8B-A344-0C8262B18B6C}"/>
    <cellStyle name="Normal 2 12_Social Expenditure Outlook" xfId="142" xr:uid="{0E5559C3-5FCB-41CF-90F8-B9556DF4B9C1}"/>
    <cellStyle name="Normal 2 13" xfId="143" xr:uid="{2B9A9AB1-81D8-4890-8BF1-CAA9C61729A7}"/>
    <cellStyle name="Normal 2 13 2" xfId="144" xr:uid="{49BEAC78-D3FC-4052-BFEE-C5D9D4EC96C1}"/>
    <cellStyle name="Normal 2 13_Social Expenditure Outlook" xfId="145" xr:uid="{7AF3A7F4-0651-48CB-ABC3-840A123345AA}"/>
    <cellStyle name="Normal 2 14" xfId="146" xr:uid="{90DAA993-E5FE-473E-893E-A1D2AF804ECD}"/>
    <cellStyle name="Normal 2 14 2" xfId="147" xr:uid="{42B092FD-E05C-4574-9819-3267FB5BC898}"/>
    <cellStyle name="Normal 2 14_Social Expenditure Outlook" xfId="148" xr:uid="{E717A676-1EE9-4DBC-A5B8-4556418AD793}"/>
    <cellStyle name="Normal 2 15" xfId="149" xr:uid="{B15765FC-4007-4DCC-A0DC-0AC3ADF7DE52}"/>
    <cellStyle name="Normal 2 15 2" xfId="150" xr:uid="{204BFE23-3C8B-4279-BAAD-28B043399AF6}"/>
    <cellStyle name="Normal 2 15_Social Expenditure Outlook" xfId="151" xr:uid="{D59F661B-18AB-408C-8919-2D34441A7C29}"/>
    <cellStyle name="Normal 2 16" xfId="152" xr:uid="{B5C5C748-DB2E-4885-927A-4BF1B519EE68}"/>
    <cellStyle name="Normal 2 16 2" xfId="153" xr:uid="{64F04192-04A9-4263-873A-0550397C9800}"/>
    <cellStyle name="Normal 2 17" xfId="154" xr:uid="{73A8F230-4E27-4155-A40A-053989A89AC6}"/>
    <cellStyle name="Normal 2 18" xfId="155" xr:uid="{A2D3AA8B-7284-405F-BE1D-F26B82AE630E}"/>
    <cellStyle name="Normal 2 19" xfId="156" xr:uid="{552B558C-0064-4013-9608-CFBDB0139DEC}"/>
    <cellStyle name="Normal 2 2" xfId="157" xr:uid="{0D78AF75-21B1-4D15-80E6-44771F01AE1F}"/>
    <cellStyle name="Normal 2 2 2" xfId="158" xr:uid="{1F35F21E-3D6B-404E-96DB-07A7749AE350}"/>
    <cellStyle name="Normal 2 2_Social Expenditure Outlook" xfId="159" xr:uid="{19723988-1F64-4480-ABBE-C0A68572AD3E}"/>
    <cellStyle name="Normal 2 3" xfId="160" xr:uid="{6E6C7E3F-A1F1-401B-B538-CF78F91794AF}"/>
    <cellStyle name="Normal 2 3 2" xfId="161" xr:uid="{871C3670-6B09-4B4F-8C79-346442B46D3B}"/>
    <cellStyle name="Normal 2 3_Social Expenditure Outlook" xfId="162" xr:uid="{336E3583-9EC2-4F94-B50C-2FB3FDAB954E}"/>
    <cellStyle name="Normal 2 4" xfId="163" xr:uid="{466E5A7F-0442-41CD-B771-C99E1D7640BC}"/>
    <cellStyle name="Normal 2 4 2" xfId="164" xr:uid="{4FFD075D-0F34-4BAB-AA98-C34933790756}"/>
    <cellStyle name="Normal 2 4_Social Expenditure Outlook" xfId="165" xr:uid="{A791F4BF-CE04-42F8-B4A3-2F7AACC0CDE5}"/>
    <cellStyle name="Normal 2 5" xfId="166" xr:uid="{48C3FAD2-BEFA-4F4C-9647-36CAA5A2994A}"/>
    <cellStyle name="Normal 2 5 2" xfId="167" xr:uid="{F82FCE44-6956-4015-94DD-1B65231911AE}"/>
    <cellStyle name="Normal 2 5_Social Expenditure Outlook" xfId="168" xr:uid="{A8EC13EE-DBF3-4F3F-97EA-1D6B359FE16E}"/>
    <cellStyle name="Normal 2 6" xfId="169" xr:uid="{045CDE5B-373D-4AED-826E-E631DC11F19F}"/>
    <cellStyle name="Normal 2 6 2" xfId="170" xr:uid="{60D0D42C-0D2F-48AB-B237-920F7181E17E}"/>
    <cellStyle name="Normal 2 6_Social Expenditure Outlook" xfId="171" xr:uid="{3A877440-0708-4BDF-BBBB-9B74AAD945BC}"/>
    <cellStyle name="Normal 2 7" xfId="172" xr:uid="{406FAFCF-CAF5-4D99-AD16-A81F7A733F19}"/>
    <cellStyle name="Normal 2 7 2" xfId="173" xr:uid="{EEB905B7-50EE-4CA7-B186-198C76EAB924}"/>
    <cellStyle name="Normal 2 7_Social Expenditure Outlook" xfId="174" xr:uid="{A00722C9-62F5-420F-9B68-D056EE3FDF42}"/>
    <cellStyle name="Normal 2 8" xfId="175" xr:uid="{6BB8F7AD-BBF3-4C81-8390-D4C40CE334C1}"/>
    <cellStyle name="Normal 2 8 2" xfId="176" xr:uid="{4018071D-30B0-4F6F-83FD-DBF82A1F3BD3}"/>
    <cellStyle name="Normal 2 8_Social Expenditure Outlook" xfId="177" xr:uid="{1F1DE04E-D71B-494C-AF68-27DB14F41EB0}"/>
    <cellStyle name="Normal 2 9" xfId="178" xr:uid="{EE69E4D5-E445-4247-93AE-85E1B5573110}"/>
    <cellStyle name="Normal 2 9 2" xfId="179" xr:uid="{FA458D0B-2EBC-4497-8FF9-5258DD9F059D}"/>
    <cellStyle name="Normal 2 9_Social Expenditure Outlook" xfId="180" xr:uid="{0C9433CE-1732-4780-BF26-3515CD5532CE}"/>
    <cellStyle name="Normal 3" xfId="181" xr:uid="{B41A52D4-7003-43C9-88F2-732FAD0B111B}"/>
    <cellStyle name="Normal 3 2" xfId="182" xr:uid="{1B577B58-3F54-4DF7-97C6-65A52BD75950}"/>
    <cellStyle name="Normal 4" xfId="183" xr:uid="{30201553-DB50-4F19-A0CD-256AE95160C5}"/>
    <cellStyle name="Normal 4 2" xfId="184" xr:uid="{83D81E92-D117-45B0-9B7B-D7F85B617F65}"/>
    <cellStyle name="Normal 5" xfId="185" xr:uid="{14A7ECEC-08D9-4ED6-A393-51BFD8096F97}"/>
    <cellStyle name="Normal 6" xfId="186" xr:uid="{39CEA835-3CFB-40A7-83F5-9B4BCA098D42}"/>
    <cellStyle name="Normal 7" xfId="187" xr:uid="{F1540D0F-1B38-4A16-9091-E7671D2E3E7A}"/>
    <cellStyle name="Normal 8" xfId="188" xr:uid="{12F418CA-A4AB-4175-B2EB-2B2961661800}"/>
    <cellStyle name="Normal 9" xfId="189" xr:uid="{34CDA405-B09E-49DC-A482-EE340D19FC70}"/>
    <cellStyle name="Normál_H-Quant99-01" xfId="190" xr:uid="{399A6DA5-FE3E-45FF-A4BA-768431607CFF}"/>
    <cellStyle name="NormalDK" xfId="191" xr:uid="{2A54ED71-B1CA-41D2-9EF5-9E5DA696E597}"/>
    <cellStyle name="NormalDK 2" xfId="192" xr:uid="{9C13DCEC-B2D0-421B-B77C-732006AE6DF1}"/>
    <cellStyle name="Normalny_FDB Quest - Parenting support" xfId="193" xr:uid="{0A72CB47-EC99-41EC-BCD2-1751CE84E66D}"/>
    <cellStyle name="Note 2" xfId="194" xr:uid="{2AA53AB9-CDA5-4D0E-A592-0DBECAB9F5E2}"/>
    <cellStyle name="Note 3" xfId="195" xr:uid="{0FCF1926-168D-4417-B084-517FA5107974}"/>
    <cellStyle name="Output 2" xfId="196" xr:uid="{4B6F8252-ED8E-4C73-93D7-6DF59B7BF25F}"/>
    <cellStyle name="Output 3" xfId="197" xr:uid="{83228256-AF5B-4BBC-BBCF-45F1793EB940}"/>
    <cellStyle name="Percent 2" xfId="198" xr:uid="{EA00E96E-5280-41E0-AB0F-E8CD079F9A6B}"/>
    <cellStyle name="Sbold" xfId="199" xr:uid="{82184A8B-DF2A-4CFF-BC77-C9C138AB4FDF}"/>
    <cellStyle name="Sledovaný hypertextový odkaz" xfId="200" xr:uid="{30C027F1-E9C9-48F4-A3DA-81816E94D00E}"/>
    <cellStyle name="Sledovaný hypertextový odkaz 2" xfId="201" xr:uid="{94EB4B76-1895-4196-A433-451F0BD0ACF9}"/>
    <cellStyle name="Snorm" xfId="202" xr:uid="{3CA43C5E-C65D-4CBF-9009-5EBE9B6268B2}"/>
    <cellStyle name="Snorm 2" xfId="203" xr:uid="{09BEA1C9-1835-46D3-AE4A-B9C120A0224F}"/>
    <cellStyle name="socxn" xfId="204" xr:uid="{C2F20985-97DE-4047-982E-C0A1BD60FA9F}"/>
    <cellStyle name="Standard_AT1990-2000Nat" xfId="205" xr:uid="{5E527764-6E49-483A-A6DA-AAEA28CE4545}"/>
    <cellStyle name="tal" xfId="206" xr:uid="{7DB4A224-EC01-4339-AC59-E6D3B4F193DA}"/>
    <cellStyle name="Title 2" xfId="207" xr:uid="{E75442CD-AE25-4691-AEB0-88F16F2DB16C}"/>
    <cellStyle name="Title 3" xfId="208" xr:uid="{FBFDAD83-2157-4A2B-8D8E-4E87E180E39D}"/>
    <cellStyle name="Total 2" xfId="209" xr:uid="{31A23CFA-52C1-4AA3-8941-98FD6A2AC554}"/>
    <cellStyle name="Total 2 2" xfId="210" xr:uid="{554B6573-4169-4020-AD18-4DF6897AFC6D}"/>
    <cellStyle name="Total 3" xfId="211" xr:uid="{79EB5E90-B9AA-42BB-BDCF-5420E1B6F21E}"/>
    <cellStyle name="Total 3 2" xfId="212" xr:uid="{3D2F1EEE-C3A0-4F10-9385-763812E14489}"/>
    <cellStyle name="Total 4" xfId="213" xr:uid="{5EBA5406-F560-4E04-8FBB-07EF6130DE36}"/>
    <cellStyle name="Total 5" xfId="214" xr:uid="{3E2BCEA0-799F-4EAA-A7F1-498A5EB67348}"/>
    <cellStyle name="Total 6" xfId="215" xr:uid="{A14AE32E-712F-48BA-B5A1-6FA61639C1BB}"/>
    <cellStyle name="Tusenskille [0]_NO" xfId="216" xr:uid="{CE034442-10D6-43C8-B205-B7E322CDC784}"/>
    <cellStyle name="Tusenskille_NO" xfId="217" xr:uid="{8830F778-9FD8-4F9E-AEE9-4CFEB233F2E5}"/>
    <cellStyle name="Tusental (0)_Data 1993" xfId="218" xr:uid="{877B220B-7927-487D-BB81-3F267B546D32}"/>
    <cellStyle name="Tusental_Data 1993" xfId="219" xr:uid="{6AFAE82E-D43F-40B0-9EAF-D1601E5F9CEF}"/>
    <cellStyle name="Valuta (0)_Data 1993" xfId="220" xr:uid="{D89F35CB-3DDF-42E0-A82B-D3EF51C6DC02}"/>
    <cellStyle name="Valuta [0]_NO" xfId="221" xr:uid="{F336F248-41E4-427D-A3F2-DF1B69A37F93}"/>
    <cellStyle name="Valuta_Data 1993" xfId="222" xr:uid="{D7E5649C-A08C-443F-A40B-A03027B27821}"/>
    <cellStyle name="Währung [0]_Check" xfId="223" xr:uid="{5BF4FE50-DA2B-44B6-8FE2-27C19DB3AE10}"/>
    <cellStyle name="Währung_Check" xfId="224" xr:uid="{AD6B1106-5727-4530-9AC2-A98BBE03BA91}"/>
    <cellStyle name="Warning Text 2" xfId="225" xr:uid="{0BEB2E43-BEFA-43E6-9D05-34DB9AC72A26}"/>
    <cellStyle name="Warning Text 3" xfId="226" xr:uid="{574656D3-20D8-41B0-BAE1-1AA55A01CE18}"/>
    <cellStyle name="백분율" xfId="229" builtinId="5"/>
    <cellStyle name="쉼표 [0]" xfId="228" builtinId="6"/>
    <cellStyle name="쉼표 [0] 2" xfId="1" xr:uid="{00000000-0005-0000-0000-000000000000}"/>
    <cellStyle name="표준" xfId="0" builtinId="0"/>
    <cellStyle name="표준 2" xfId="2" xr:uid="{3F0F9277-5262-43D8-AE99-F94ECE1FF303}"/>
    <cellStyle name="표준 3" xfId="3" xr:uid="{E594B141-731A-4B47-A5CD-1363A2ACCC07}"/>
    <cellStyle name="표준 4" xfId="6" xr:uid="{93931DAA-20DF-453A-BD2C-40B3A6EDA006}"/>
    <cellStyle name="標準_②Ｂ分類事項一覧（英語）" xfId="227" xr:uid="{606DB6DA-4334-4F08-AE0D-E6C4926F79C5}"/>
    <cellStyle name="하이퍼링크 2" xfId="108" xr:uid="{D16DC4C5-60D7-46BF-AF1B-E55C82D93E9B}"/>
  </cellStyles>
  <dxfs count="0"/>
  <tableStyles count="0" defaultTableStyle="TableStyleMedium2" defaultPivotStyle="PivotStyleLight16"/>
  <colors>
    <mruColors>
      <color rgb="FF7EACB5"/>
      <color rgb="FFBF4646"/>
      <color rgb="FF0B2D72"/>
      <color rgb="FFD1D1D1"/>
      <color rgb="FFEDDCC6"/>
      <color rgb="FFD89090"/>
      <color rgb="FF4988C4"/>
      <color rgb="FFB8D1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tabSelected="1" zoomScaleNormal="100" workbookViewId="0"/>
  </sheetViews>
  <sheetFormatPr defaultColWidth="10.6328125" defaultRowHeight="16"/>
  <cols>
    <col min="1" max="16384" width="10.6328125" style="1"/>
  </cols>
  <sheetData>
    <row r="1" spans="1:5">
      <c r="A1" s="1" t="s">
        <v>44</v>
      </c>
    </row>
    <row r="3" spans="1:5" ht="32">
      <c r="A3" s="3" t="s">
        <v>43</v>
      </c>
      <c r="B3" s="7" t="s">
        <v>21</v>
      </c>
      <c r="C3" s="7" t="s">
        <v>22</v>
      </c>
      <c r="D3" s="7" t="s">
        <v>23</v>
      </c>
      <c r="E3" s="7" t="s">
        <v>24</v>
      </c>
    </row>
    <row r="4" spans="1:5">
      <c r="A4" s="3">
        <v>1981</v>
      </c>
      <c r="B4" s="4">
        <v>11.663167809999999</v>
      </c>
      <c r="C4" s="4">
        <v>14.796875</v>
      </c>
      <c r="D4" s="4">
        <v>33.890625</v>
      </c>
      <c r="E4" s="4">
        <v>5.578125</v>
      </c>
    </row>
    <row r="5" spans="1:5">
      <c r="A5" s="3">
        <v>1982</v>
      </c>
      <c r="B5" s="4">
        <v>12.620282530000001</v>
      </c>
      <c r="C5" s="4">
        <v>12.9375</v>
      </c>
      <c r="D5" s="4">
        <v>21.34375</v>
      </c>
      <c r="E5" s="4">
        <v>2.953125</v>
      </c>
    </row>
    <row r="6" spans="1:5">
      <c r="A6" s="3">
        <v>1983</v>
      </c>
      <c r="B6" s="4">
        <v>12.51408852</v>
      </c>
      <c r="C6" s="4">
        <v>17</v>
      </c>
      <c r="D6" s="4">
        <v>26.075757580000001</v>
      </c>
      <c r="E6" s="4">
        <v>3.4090909090000001</v>
      </c>
    </row>
    <row r="7" spans="1:5">
      <c r="A7" s="3">
        <v>1984</v>
      </c>
      <c r="B7" s="4">
        <v>11.89240354</v>
      </c>
      <c r="C7" s="4">
        <v>20.287878790000001</v>
      </c>
      <c r="D7" s="4">
        <v>43.060606059999998</v>
      </c>
      <c r="E7" s="4">
        <v>5.5606060609999997</v>
      </c>
    </row>
    <row r="8" spans="1:5">
      <c r="A8" s="3">
        <v>1985</v>
      </c>
      <c r="B8" s="4">
        <v>12.28613479</v>
      </c>
      <c r="C8" s="4">
        <v>23.470588240000001</v>
      </c>
      <c r="D8" s="4">
        <v>31.823529409999999</v>
      </c>
      <c r="E8" s="4">
        <v>7.5735294120000001</v>
      </c>
    </row>
    <row r="9" spans="1:5">
      <c r="A9" s="3">
        <v>1986</v>
      </c>
      <c r="B9" s="4">
        <v>11.68470185</v>
      </c>
      <c r="C9" s="4">
        <v>10.04411765</v>
      </c>
      <c r="D9" s="4">
        <v>28.602941179999998</v>
      </c>
      <c r="E9" s="4">
        <v>4.4117647059999996</v>
      </c>
    </row>
    <row r="10" spans="1:5">
      <c r="A10" s="3">
        <v>1987</v>
      </c>
      <c r="B10" s="4">
        <v>12.40341257</v>
      </c>
      <c r="C10" s="4">
        <v>4.5882352940000004</v>
      </c>
      <c r="D10" s="4">
        <v>14.617647059999999</v>
      </c>
      <c r="E10" s="4">
        <v>6.3823529409999997</v>
      </c>
    </row>
    <row r="11" spans="1:5">
      <c r="A11" s="3">
        <v>1988</v>
      </c>
      <c r="B11" s="4">
        <v>12.16502453</v>
      </c>
      <c r="C11" s="4">
        <v>15.29166667</v>
      </c>
      <c r="D11" s="4">
        <v>21.625</v>
      </c>
      <c r="E11" s="4">
        <v>2.7083333330000001</v>
      </c>
    </row>
    <row r="12" spans="1:5">
      <c r="A12" s="3">
        <v>1989</v>
      </c>
      <c r="B12" s="4">
        <v>12.85439498</v>
      </c>
      <c r="C12" s="4">
        <v>9.0694444440000002</v>
      </c>
      <c r="D12" s="4">
        <v>7.4722222220000001</v>
      </c>
      <c r="E12" s="4">
        <v>5.5</v>
      </c>
    </row>
    <row r="13" spans="1:5">
      <c r="A13" s="3">
        <v>1990</v>
      </c>
      <c r="B13" s="4">
        <v>13.142393459999999</v>
      </c>
      <c r="C13" s="4">
        <v>25.166666670000001</v>
      </c>
      <c r="D13" s="4">
        <v>15.13888889</v>
      </c>
      <c r="E13" s="4">
        <v>5.7777777779999999</v>
      </c>
    </row>
    <row r="14" spans="1:5">
      <c r="A14" s="3">
        <v>1991</v>
      </c>
      <c r="B14" s="4">
        <v>12.36995948</v>
      </c>
      <c r="C14" s="4">
        <v>7</v>
      </c>
      <c r="D14" s="4">
        <v>17.281690139999998</v>
      </c>
      <c r="E14" s="4">
        <v>5.5352112680000003</v>
      </c>
    </row>
    <row r="15" spans="1:5">
      <c r="A15" s="3">
        <v>1992</v>
      </c>
      <c r="B15" s="4">
        <v>12.58989077</v>
      </c>
      <c r="C15" s="4">
        <v>11.66666667</v>
      </c>
      <c r="D15" s="4">
        <v>8.5138888890000004</v>
      </c>
      <c r="E15" s="4">
        <v>3.9166666669999999</v>
      </c>
    </row>
    <row r="16" spans="1:5">
      <c r="A16" s="3">
        <v>1993</v>
      </c>
      <c r="B16" s="4">
        <v>11.920945769999999</v>
      </c>
      <c r="C16" s="4">
        <v>0.63013698600000001</v>
      </c>
      <c r="D16" s="4">
        <v>14.041095889999999</v>
      </c>
      <c r="E16" s="4">
        <v>5.5205479449999997</v>
      </c>
    </row>
    <row r="17" spans="1:5">
      <c r="A17" s="3">
        <v>1994</v>
      </c>
      <c r="B17" s="4">
        <v>13.30016513</v>
      </c>
      <c r="C17" s="4">
        <v>38.821917810000002</v>
      </c>
      <c r="D17" s="4">
        <v>13.82191781</v>
      </c>
      <c r="E17" s="4">
        <v>3.328767123</v>
      </c>
    </row>
    <row r="18" spans="1:5">
      <c r="A18" s="3">
        <v>1995</v>
      </c>
      <c r="B18" s="4">
        <v>12.110096260000001</v>
      </c>
      <c r="C18" s="4">
        <v>17.59459459</v>
      </c>
      <c r="D18" s="4">
        <v>19.31081081</v>
      </c>
      <c r="E18" s="4">
        <v>4.4459459460000001</v>
      </c>
    </row>
    <row r="19" spans="1:5">
      <c r="A19" s="3">
        <v>1996</v>
      </c>
      <c r="B19" s="4">
        <v>12.103701620000001</v>
      </c>
      <c r="C19" s="4">
        <v>22.780821920000001</v>
      </c>
      <c r="D19" s="4">
        <v>24.041095890000001</v>
      </c>
      <c r="E19" s="4">
        <v>3.5205479450000001</v>
      </c>
    </row>
    <row r="20" spans="1:5">
      <c r="A20" s="3">
        <v>1997</v>
      </c>
      <c r="B20" s="4">
        <v>12.79471307</v>
      </c>
      <c r="C20" s="4">
        <v>19.743243240000002</v>
      </c>
      <c r="D20" s="4">
        <v>18.513513509999999</v>
      </c>
      <c r="E20" s="4">
        <v>6.2567567569999998</v>
      </c>
    </row>
    <row r="21" spans="1:5">
      <c r="A21" s="3">
        <v>1998</v>
      </c>
      <c r="B21" s="4">
        <v>13.563813700000001</v>
      </c>
      <c r="C21" s="4">
        <v>7.1066666669999998</v>
      </c>
      <c r="D21" s="4">
        <v>9.6</v>
      </c>
      <c r="E21" s="4">
        <v>7.7066666670000004</v>
      </c>
    </row>
    <row r="22" spans="1:5">
      <c r="A22" s="3">
        <v>1999</v>
      </c>
      <c r="B22" s="4">
        <v>12.85183196</v>
      </c>
      <c r="C22" s="4">
        <v>9.64</v>
      </c>
      <c r="D22" s="4">
        <v>14.14666667</v>
      </c>
      <c r="E22" s="4">
        <v>7.6666666670000003</v>
      </c>
    </row>
    <row r="23" spans="1:5">
      <c r="A23" s="3">
        <v>2000</v>
      </c>
      <c r="B23" s="4">
        <v>12.5005933</v>
      </c>
      <c r="C23" s="4">
        <v>20.486842110000001</v>
      </c>
      <c r="D23" s="4">
        <v>17.21052632</v>
      </c>
      <c r="E23" s="4">
        <v>5.736842105</v>
      </c>
    </row>
    <row r="24" spans="1:5">
      <c r="A24" s="3">
        <v>2001</v>
      </c>
      <c r="B24" s="4">
        <v>12.671974430000001</v>
      </c>
      <c r="C24" s="4">
        <v>20.666666670000001</v>
      </c>
      <c r="D24" s="4">
        <v>20.04</v>
      </c>
      <c r="E24" s="4">
        <v>3.88</v>
      </c>
    </row>
    <row r="25" spans="1:5">
      <c r="A25" s="3">
        <v>2002</v>
      </c>
      <c r="B25" s="4">
        <v>12.6058307</v>
      </c>
      <c r="C25" s="4">
        <v>8.8589743589999994</v>
      </c>
      <c r="D25" s="4">
        <v>8.6410256410000006</v>
      </c>
      <c r="E25" s="4">
        <v>6.2564102559999997</v>
      </c>
    </row>
    <row r="26" spans="1:5">
      <c r="A26" s="3">
        <v>2003</v>
      </c>
      <c r="B26" s="4">
        <v>12.51362136</v>
      </c>
      <c r="C26" s="4">
        <v>4.9743589740000003</v>
      </c>
      <c r="D26" s="4">
        <v>13.448717950000001</v>
      </c>
      <c r="E26" s="4">
        <v>8.7051282049999994</v>
      </c>
    </row>
    <row r="27" spans="1:5">
      <c r="A27" s="3">
        <v>2004</v>
      </c>
      <c r="B27" s="4">
        <v>13.12133249</v>
      </c>
      <c r="C27" s="4">
        <v>22.397435900000001</v>
      </c>
      <c r="D27" s="4">
        <v>12.858974359999999</v>
      </c>
      <c r="E27" s="4">
        <v>6.0897435900000003</v>
      </c>
    </row>
    <row r="28" spans="1:5">
      <c r="A28" s="3">
        <v>2005</v>
      </c>
      <c r="B28" s="4">
        <v>12.3116895</v>
      </c>
      <c r="C28" s="4">
        <v>17.025641029999999</v>
      </c>
      <c r="D28" s="4">
        <v>31.371794869999999</v>
      </c>
      <c r="E28" s="4">
        <v>4.9487179489999997</v>
      </c>
    </row>
    <row r="29" spans="1:5">
      <c r="A29" s="3">
        <v>2006</v>
      </c>
      <c r="B29" s="4">
        <v>12.867959259999999</v>
      </c>
      <c r="C29" s="4">
        <v>19.948717949999999</v>
      </c>
      <c r="D29" s="4">
        <v>14.37179487</v>
      </c>
      <c r="E29" s="4">
        <v>6.461538462</v>
      </c>
    </row>
    <row r="30" spans="1:5">
      <c r="A30" s="3">
        <v>2007</v>
      </c>
      <c r="B30" s="4">
        <v>12.93463422</v>
      </c>
      <c r="C30" s="4">
        <v>15.36708861</v>
      </c>
      <c r="D30" s="4">
        <v>2.9367088610000001</v>
      </c>
      <c r="E30" s="4">
        <v>5.9493670889999999</v>
      </c>
    </row>
    <row r="31" spans="1:5">
      <c r="A31" s="3">
        <v>2008</v>
      </c>
      <c r="B31" s="4">
        <v>12.99194099</v>
      </c>
      <c r="C31" s="4">
        <v>17.2804878</v>
      </c>
      <c r="D31" s="4">
        <v>15.426829270000001</v>
      </c>
      <c r="E31" s="4">
        <v>4.0365853659999997</v>
      </c>
    </row>
    <row r="32" spans="1:5">
      <c r="A32" s="3">
        <v>2009</v>
      </c>
      <c r="B32" s="4">
        <v>12.870559979999999</v>
      </c>
      <c r="C32" s="4">
        <v>6.5119047620000003</v>
      </c>
      <c r="D32" s="4">
        <v>17.571428569999998</v>
      </c>
      <c r="E32" s="4">
        <v>5.4523809520000004</v>
      </c>
    </row>
    <row r="33" spans="1:5">
      <c r="A33" s="3">
        <v>2010</v>
      </c>
      <c r="B33" s="4">
        <v>12.539799589999999</v>
      </c>
      <c r="C33" s="4">
        <v>19.61538462</v>
      </c>
      <c r="D33" s="4">
        <v>21.483516479999999</v>
      </c>
      <c r="E33" s="4">
        <v>5.3516483519999998</v>
      </c>
    </row>
    <row r="34" spans="1:5">
      <c r="A34" s="3">
        <v>2011</v>
      </c>
      <c r="B34" s="4">
        <v>12.4723959</v>
      </c>
      <c r="C34" s="4">
        <v>11.25806452</v>
      </c>
      <c r="D34" s="4">
        <v>32.462365589999997</v>
      </c>
      <c r="E34" s="4">
        <v>7.2580645160000001</v>
      </c>
    </row>
    <row r="35" spans="1:5">
      <c r="A35" s="3">
        <v>2012</v>
      </c>
      <c r="B35" s="4">
        <v>12.30527719</v>
      </c>
      <c r="C35" s="4">
        <v>20.172043009999999</v>
      </c>
      <c r="D35" s="4">
        <v>32.505376339999998</v>
      </c>
      <c r="E35" s="4">
        <v>6.6559139780000001</v>
      </c>
    </row>
    <row r="36" spans="1:5">
      <c r="A36" s="3">
        <v>2013</v>
      </c>
      <c r="B36" s="4">
        <v>12.85019224</v>
      </c>
      <c r="C36" s="4">
        <v>25.096774190000001</v>
      </c>
      <c r="D36" s="4">
        <v>20.483870970000002</v>
      </c>
      <c r="E36" s="4">
        <v>4.0752688170000004</v>
      </c>
    </row>
    <row r="37" spans="1:5">
      <c r="A37" s="3">
        <v>2014</v>
      </c>
      <c r="B37" s="4">
        <v>13.103108300000001</v>
      </c>
      <c r="C37" s="4">
        <v>9.744680851</v>
      </c>
      <c r="D37" s="4">
        <v>14.07446809</v>
      </c>
      <c r="E37" s="4">
        <v>4.2127659570000002</v>
      </c>
    </row>
    <row r="38" spans="1:5">
      <c r="A38" s="3">
        <v>2015</v>
      </c>
      <c r="B38" s="4">
        <v>13.27580833</v>
      </c>
      <c r="C38" s="4">
        <v>14.44210526</v>
      </c>
      <c r="D38" s="4">
        <v>7.273684211</v>
      </c>
      <c r="E38" s="4">
        <v>2.6842105260000002</v>
      </c>
    </row>
    <row r="39" spans="1:5">
      <c r="A39" s="3">
        <v>2016</v>
      </c>
      <c r="B39" s="4">
        <v>13.508797619999999</v>
      </c>
      <c r="C39" s="4">
        <v>29.505263159999998</v>
      </c>
      <c r="D39" s="4">
        <v>12.07368421</v>
      </c>
      <c r="E39" s="4">
        <v>4.3684210529999996</v>
      </c>
    </row>
    <row r="40" spans="1:5">
      <c r="A40" s="3">
        <v>2017</v>
      </c>
      <c r="B40" s="4">
        <v>13.06719657</v>
      </c>
      <c r="C40" s="4">
        <v>21.852631580000001</v>
      </c>
      <c r="D40" s="4">
        <v>17.673684210000001</v>
      </c>
      <c r="E40" s="4">
        <v>3.5789473680000001</v>
      </c>
    </row>
    <row r="41" spans="1:5">
      <c r="A41" s="3">
        <v>2018</v>
      </c>
      <c r="B41" s="4">
        <v>13.009397480000001</v>
      </c>
      <c r="C41" s="4">
        <v>36.89473684</v>
      </c>
      <c r="D41" s="4">
        <v>27.652631580000001</v>
      </c>
      <c r="E41" s="4">
        <v>6.4736842110000001</v>
      </c>
    </row>
    <row r="42" spans="1:5">
      <c r="A42" s="3">
        <v>2019</v>
      </c>
      <c r="B42" s="4">
        <v>13.50390769</v>
      </c>
      <c r="C42" s="4">
        <v>17.427083329999999</v>
      </c>
      <c r="D42" s="4">
        <v>6.0520833329999997</v>
      </c>
      <c r="E42" s="4">
        <v>5.4166666670000003</v>
      </c>
    </row>
    <row r="43" spans="1:5">
      <c r="A43" s="3">
        <v>2020</v>
      </c>
      <c r="B43" s="4">
        <v>13.23545931</v>
      </c>
      <c r="C43" s="4">
        <v>12.884210530000001</v>
      </c>
      <c r="D43" s="4">
        <v>7.5578947369999998</v>
      </c>
      <c r="E43" s="4">
        <v>7.6947368420000002</v>
      </c>
    </row>
    <row r="44" spans="1:5">
      <c r="A44" s="3">
        <v>2021</v>
      </c>
      <c r="B44" s="4">
        <v>13.62545536</v>
      </c>
      <c r="C44" s="4">
        <v>18.8</v>
      </c>
      <c r="D44" s="4">
        <v>18.92631579</v>
      </c>
      <c r="E44" s="4">
        <v>4.2210526320000001</v>
      </c>
    </row>
    <row r="45" spans="1:5">
      <c r="A45" s="3">
        <v>2022</v>
      </c>
      <c r="B45" s="4">
        <v>13.23756931</v>
      </c>
      <c r="C45" s="4">
        <v>18.473684209999998</v>
      </c>
      <c r="D45" s="4">
        <v>24</v>
      </c>
      <c r="E45" s="4">
        <v>4.8421052629999997</v>
      </c>
    </row>
    <row r="46" spans="1:5">
      <c r="A46" s="3">
        <v>2023</v>
      </c>
      <c r="B46" s="4">
        <v>13.98384184</v>
      </c>
      <c r="C46" s="4">
        <v>22.90721649</v>
      </c>
      <c r="D46" s="4">
        <v>13.96907216</v>
      </c>
      <c r="E46" s="4">
        <v>7.9072164950000001</v>
      </c>
    </row>
    <row r="47" spans="1:5">
      <c r="A47" s="3">
        <v>2024</v>
      </c>
      <c r="B47" s="4">
        <v>14.68917066</v>
      </c>
      <c r="C47" s="4">
        <v>45.12371134</v>
      </c>
      <c r="D47" s="4">
        <v>5.515463918</v>
      </c>
      <c r="E47" s="4">
        <v>5.4432989689999998</v>
      </c>
    </row>
    <row r="49" spans="1:1">
      <c r="A49" s="1" t="s">
        <v>45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6942B-2C2F-432E-BE07-90A04038786E}">
  <dimension ref="A1:K15"/>
  <sheetViews>
    <sheetView zoomScaleNormal="100" workbookViewId="0"/>
  </sheetViews>
  <sheetFormatPr defaultColWidth="8.6328125" defaultRowHeight="16"/>
  <cols>
    <col min="1" max="16384" width="8.6328125" style="9"/>
  </cols>
  <sheetData>
    <row r="1" spans="1:11">
      <c r="A1" s="9" t="s">
        <v>49</v>
      </c>
    </row>
    <row r="3" spans="1:11">
      <c r="A3" s="19" t="s">
        <v>50</v>
      </c>
      <c r="B3" s="19" t="s">
        <v>1</v>
      </c>
      <c r="C3" s="19"/>
      <c r="D3" s="19"/>
      <c r="E3" s="19"/>
      <c r="F3" s="19"/>
      <c r="G3" s="19" t="s">
        <v>2</v>
      </c>
      <c r="H3" s="19"/>
      <c r="I3" s="19"/>
      <c r="J3" s="19"/>
      <c r="K3" s="19"/>
    </row>
    <row r="4" spans="1:11">
      <c r="A4" s="19"/>
      <c r="B4" s="7">
        <v>2020</v>
      </c>
      <c r="C4" s="7">
        <v>2021</v>
      </c>
      <c r="D4" s="7">
        <v>2022</v>
      </c>
      <c r="E4" s="7">
        <v>2023</v>
      </c>
      <c r="F4" s="7">
        <v>2024</v>
      </c>
      <c r="G4" s="7">
        <v>2020</v>
      </c>
      <c r="H4" s="7">
        <v>2021</v>
      </c>
      <c r="I4" s="7">
        <v>2022</v>
      </c>
      <c r="J4" s="7">
        <v>2023</v>
      </c>
      <c r="K4" s="7">
        <v>2024</v>
      </c>
    </row>
    <row r="5" spans="1:11">
      <c r="A5" s="7" t="s">
        <v>3</v>
      </c>
      <c r="B5" s="11">
        <v>83.1</v>
      </c>
      <c r="C5" s="11">
        <v>61.5</v>
      </c>
      <c r="D5" s="11">
        <v>56.1</v>
      </c>
      <c r="E5" s="11">
        <v>80.8</v>
      </c>
      <c r="F5" s="11">
        <v>46.6</v>
      </c>
      <c r="G5" s="11">
        <v>56.9</v>
      </c>
      <c r="H5" s="11">
        <v>7.1</v>
      </c>
      <c r="I5" s="11">
        <v>27.4</v>
      </c>
      <c r="J5" s="11">
        <v>36.5</v>
      </c>
      <c r="K5" s="11">
        <v>4.2</v>
      </c>
    </row>
    <row r="6" spans="1:11">
      <c r="A6" s="7" t="s">
        <v>4</v>
      </c>
      <c r="B6" s="11">
        <v>16.899999999999999</v>
      </c>
      <c r="C6" s="11">
        <v>31.9</v>
      </c>
      <c r="D6" s="11">
        <v>41.2</v>
      </c>
      <c r="E6" s="11">
        <v>5.8</v>
      </c>
      <c r="F6" s="11">
        <v>0</v>
      </c>
      <c r="G6" s="11">
        <v>2.8</v>
      </c>
      <c r="H6" s="11" t="s">
        <v>0</v>
      </c>
      <c r="I6" s="11">
        <v>17.7</v>
      </c>
      <c r="J6" s="11" t="s">
        <v>0</v>
      </c>
      <c r="K6" s="11" t="s">
        <v>0</v>
      </c>
    </row>
    <row r="7" spans="1:11">
      <c r="A7" s="7" t="s">
        <v>5</v>
      </c>
      <c r="B7" s="11">
        <v>0</v>
      </c>
      <c r="C7" s="11">
        <v>0.4</v>
      </c>
      <c r="D7" s="11" t="s">
        <v>0</v>
      </c>
      <c r="E7" s="11">
        <v>1</v>
      </c>
      <c r="F7" s="11">
        <v>0</v>
      </c>
      <c r="G7" s="11" t="s">
        <v>0</v>
      </c>
      <c r="H7" s="11" t="s">
        <v>0</v>
      </c>
      <c r="I7" s="11" t="s">
        <v>0</v>
      </c>
      <c r="J7" s="11">
        <v>1.5</v>
      </c>
      <c r="K7" s="11" t="s">
        <v>0</v>
      </c>
    </row>
    <row r="8" spans="1:11">
      <c r="A8" s="7" t="s">
        <v>6</v>
      </c>
      <c r="B8" s="11" t="s">
        <v>0</v>
      </c>
      <c r="C8" s="11">
        <v>5.3</v>
      </c>
      <c r="D8" s="11">
        <v>2.6</v>
      </c>
      <c r="E8" s="11">
        <v>0.3</v>
      </c>
      <c r="F8" s="11">
        <v>49.9</v>
      </c>
      <c r="G8" s="11" t="s">
        <v>0</v>
      </c>
      <c r="H8" s="11" t="s">
        <v>0</v>
      </c>
      <c r="I8" s="11" t="s">
        <v>0</v>
      </c>
      <c r="J8" s="11" t="s">
        <v>0</v>
      </c>
      <c r="K8" s="11">
        <v>5.8</v>
      </c>
    </row>
    <row r="9" spans="1:11">
      <c r="A9" s="7" t="s">
        <v>7</v>
      </c>
      <c r="B9" s="11" t="s">
        <v>0</v>
      </c>
      <c r="C9" s="11" t="s">
        <v>0</v>
      </c>
      <c r="D9" s="11" t="s">
        <v>0</v>
      </c>
      <c r="E9" s="11">
        <v>0</v>
      </c>
      <c r="F9" s="11">
        <v>0.3</v>
      </c>
      <c r="G9" s="11">
        <v>40.299999999999997</v>
      </c>
      <c r="H9" s="11">
        <v>92.9</v>
      </c>
      <c r="I9" s="11">
        <v>54.8</v>
      </c>
      <c r="J9" s="11">
        <v>62</v>
      </c>
      <c r="K9" s="11">
        <v>90</v>
      </c>
    </row>
    <row r="10" spans="1:11">
      <c r="A10" s="7" t="s">
        <v>8</v>
      </c>
      <c r="B10" s="11">
        <v>0</v>
      </c>
      <c r="C10" s="11">
        <v>0.8</v>
      </c>
      <c r="D10" s="11">
        <v>0.1</v>
      </c>
      <c r="E10" s="11">
        <v>12</v>
      </c>
      <c r="F10" s="11">
        <v>3.3</v>
      </c>
      <c r="G10" s="11" t="s">
        <v>0</v>
      </c>
      <c r="H10" s="11" t="s">
        <v>0</v>
      </c>
      <c r="I10" s="11" t="s">
        <v>0</v>
      </c>
      <c r="J10" s="11" t="s">
        <v>0</v>
      </c>
      <c r="K10" s="11" t="s">
        <v>0</v>
      </c>
    </row>
    <row r="11" spans="1:11">
      <c r="A11" s="7" t="s">
        <v>9</v>
      </c>
      <c r="B11" s="11">
        <v>100</v>
      </c>
      <c r="C11" s="11">
        <v>100</v>
      </c>
      <c r="D11" s="11">
        <v>100</v>
      </c>
      <c r="E11" s="11">
        <v>100</v>
      </c>
      <c r="F11" s="11">
        <v>100</v>
      </c>
      <c r="G11" s="11">
        <v>100</v>
      </c>
      <c r="H11" s="11">
        <v>100</v>
      </c>
      <c r="I11" s="11">
        <v>100</v>
      </c>
      <c r="J11" s="11">
        <v>100</v>
      </c>
      <c r="K11" s="11">
        <v>100</v>
      </c>
    </row>
    <row r="13" spans="1:11">
      <c r="A13" s="9" t="s">
        <v>47</v>
      </c>
    </row>
    <row r="14" spans="1:11">
      <c r="A14" s="9" t="s">
        <v>46</v>
      </c>
    </row>
    <row r="15" spans="1:11">
      <c r="A15" s="9" t="s">
        <v>48</v>
      </c>
    </row>
  </sheetData>
  <mergeCells count="3">
    <mergeCell ref="A3:A4"/>
    <mergeCell ref="B3:F3"/>
    <mergeCell ref="G3:K3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5B64-8E3E-409F-BEDE-CA50F553A665}">
  <dimension ref="A1:F45"/>
  <sheetViews>
    <sheetView zoomScaleNormal="100" workbookViewId="0"/>
  </sheetViews>
  <sheetFormatPr defaultColWidth="9.6328125" defaultRowHeight="16"/>
  <cols>
    <col min="1" max="16384" width="9.6328125" style="9"/>
  </cols>
  <sheetData>
    <row r="1" spans="1:6">
      <c r="A1" s="9" t="s">
        <v>58</v>
      </c>
    </row>
    <row r="3" spans="1:6">
      <c r="F3" s="2" t="s">
        <v>51</v>
      </c>
    </row>
    <row r="4" spans="1:6">
      <c r="A4" s="8" t="s">
        <v>43</v>
      </c>
      <c r="B4" s="8" t="s">
        <v>25</v>
      </c>
      <c r="C4" s="8" t="s">
        <v>26</v>
      </c>
      <c r="D4" s="8" t="s">
        <v>27</v>
      </c>
      <c r="E4" s="8" t="s">
        <v>28</v>
      </c>
      <c r="F4" s="8" t="s">
        <v>29</v>
      </c>
    </row>
    <row r="5" spans="1:6">
      <c r="A5" s="5">
        <v>1990</v>
      </c>
      <c r="B5" s="14">
        <v>13.694362391102116</v>
      </c>
      <c r="C5" s="14">
        <v>26.594182950029506</v>
      </c>
      <c r="D5" s="14">
        <v>13.446741741560869</v>
      </c>
      <c r="E5" s="14">
        <v>24.63449532212142</v>
      </c>
      <c r="F5" s="14">
        <v>21.630217595186089</v>
      </c>
    </row>
    <row r="6" spans="1:6">
      <c r="A6" s="5">
        <v>1991</v>
      </c>
      <c r="B6" s="14">
        <v>14.301245971856872</v>
      </c>
      <c r="C6" s="14">
        <v>27.870813615976473</v>
      </c>
      <c r="D6" s="14">
        <v>12.973943489230862</v>
      </c>
      <c r="E6" s="14">
        <v>21.618633658555645</v>
      </c>
      <c r="F6" s="14">
        <v>23.235363264380137</v>
      </c>
    </row>
    <row r="7" spans="1:6">
      <c r="A7" s="5">
        <v>1992</v>
      </c>
      <c r="B7" s="14">
        <v>15.330775224149439</v>
      </c>
      <c r="C7" s="14">
        <v>26.563883319633199</v>
      </c>
      <c r="D7" s="14">
        <v>13.523140662214402</v>
      </c>
      <c r="E7" s="14">
        <v>19.340740962402659</v>
      </c>
      <c r="F7" s="14">
        <v>25.241459831600306</v>
      </c>
    </row>
    <row r="8" spans="1:6">
      <c r="A8" s="5">
        <v>1993</v>
      </c>
      <c r="B8" s="14">
        <v>15.661168946577867</v>
      </c>
      <c r="C8" s="14">
        <v>27.757962769984889</v>
      </c>
      <c r="D8" s="14">
        <v>15.40294113437208</v>
      </c>
      <c r="E8" s="14">
        <v>15.219574777123954</v>
      </c>
      <c r="F8" s="14">
        <v>25.958352371941206</v>
      </c>
    </row>
    <row r="9" spans="1:6">
      <c r="A9" s="5">
        <v>1994</v>
      </c>
      <c r="B9" s="14">
        <v>18.033283092606052</v>
      </c>
      <c r="C9" s="14">
        <v>25.87673790460337</v>
      </c>
      <c r="D9" s="14">
        <v>14.898167167678434</v>
      </c>
      <c r="E9" s="14">
        <v>16.004697750643111</v>
      </c>
      <c r="F9" s="14">
        <v>25.187114084469037</v>
      </c>
    </row>
    <row r="10" spans="1:6">
      <c r="A10" s="5">
        <v>1995</v>
      </c>
      <c r="B10" s="14">
        <v>18.452712956558813</v>
      </c>
      <c r="C10" s="14">
        <v>24.269236948879179</v>
      </c>
      <c r="D10" s="14">
        <v>15.454404999069538</v>
      </c>
      <c r="E10" s="14">
        <v>16.005343448399291</v>
      </c>
      <c r="F10" s="14">
        <v>25.818301647093179</v>
      </c>
    </row>
    <row r="11" spans="1:6">
      <c r="A11" s="5">
        <v>1996</v>
      </c>
      <c r="B11" s="14">
        <v>20.806575541029542</v>
      </c>
      <c r="C11" s="14">
        <v>24.058140458384781</v>
      </c>
      <c r="D11" s="14">
        <v>15.256621515485744</v>
      </c>
      <c r="E11" s="14">
        <v>15.604894517961879</v>
      </c>
      <c r="F11" s="14">
        <v>24.273767967138053</v>
      </c>
    </row>
    <row r="12" spans="1:6">
      <c r="A12" s="5">
        <v>1997</v>
      </c>
      <c r="B12" s="14">
        <v>21.589602947652413</v>
      </c>
      <c r="C12" s="14">
        <v>22.98697137468131</v>
      </c>
      <c r="D12" s="14">
        <v>15.790439123326516</v>
      </c>
      <c r="E12" s="14">
        <v>15.058288889177923</v>
      </c>
      <c r="F12" s="14">
        <v>24.574697665161828</v>
      </c>
    </row>
    <row r="13" spans="1:6">
      <c r="A13" s="5">
        <v>1998</v>
      </c>
      <c r="B13" s="14">
        <v>22.574116125126253</v>
      </c>
      <c r="C13" s="14">
        <v>24.677664354096517</v>
      </c>
      <c r="D13" s="14">
        <v>14.469493993108026</v>
      </c>
      <c r="E13" s="14">
        <v>13.622156569324417</v>
      </c>
      <c r="F13" s="14">
        <v>24.656568958344792</v>
      </c>
    </row>
    <row r="14" spans="1:6">
      <c r="A14" s="5">
        <v>1999</v>
      </c>
      <c r="B14" s="14">
        <v>23.054636414381939</v>
      </c>
      <c r="C14" s="14">
        <v>24.637677683289514</v>
      </c>
      <c r="D14" s="14">
        <v>14.58060420379533</v>
      </c>
      <c r="E14" s="14">
        <v>14.763707096827829</v>
      </c>
      <c r="F14" s="14">
        <v>22.963374601705379</v>
      </c>
    </row>
    <row r="15" spans="1:6">
      <c r="A15" s="5">
        <v>2000</v>
      </c>
      <c r="B15" s="14">
        <v>25.527170141580065</v>
      </c>
      <c r="C15" s="14">
        <v>24.423607580554126</v>
      </c>
      <c r="D15" s="14">
        <v>15.199185967942997</v>
      </c>
      <c r="E15" s="14">
        <v>13.085651116915543</v>
      </c>
      <c r="F15" s="14">
        <v>21.764385193007268</v>
      </c>
    </row>
    <row r="16" spans="1:6">
      <c r="A16" s="5">
        <v>2001</v>
      </c>
      <c r="B16" s="14">
        <v>26.917329919401094</v>
      </c>
      <c r="C16" s="14">
        <v>23.604741653550125</v>
      </c>
      <c r="D16" s="14">
        <v>15.32619941393148</v>
      </c>
      <c r="E16" s="14">
        <v>12.092889763678652</v>
      </c>
      <c r="F16" s="14">
        <v>22.058839249438652</v>
      </c>
    </row>
    <row r="17" spans="1:6">
      <c r="A17" s="5">
        <v>2002</v>
      </c>
      <c r="B17" s="14">
        <v>27.637356046369643</v>
      </c>
      <c r="C17" s="14">
        <v>23.274456488325598</v>
      </c>
      <c r="D17" s="14">
        <v>15.656213390806073</v>
      </c>
      <c r="E17" s="14">
        <v>11.611656092146562</v>
      </c>
      <c r="F17" s="14">
        <v>21.820317982352122</v>
      </c>
    </row>
    <row r="18" spans="1:6">
      <c r="A18" s="5">
        <v>2003</v>
      </c>
      <c r="B18" s="14">
        <v>27.677791409989339</v>
      </c>
      <c r="C18" s="14">
        <v>23.638582238008084</v>
      </c>
      <c r="D18" s="14">
        <v>15.778479808599039</v>
      </c>
      <c r="E18" s="14">
        <v>11.242581888605349</v>
      </c>
      <c r="F18" s="14">
        <v>21.662564654798189</v>
      </c>
    </row>
    <row r="19" spans="1:6">
      <c r="A19" s="5">
        <v>2004</v>
      </c>
      <c r="B19" s="14">
        <v>29.347618083798306</v>
      </c>
      <c r="C19" s="14">
        <v>23.350211012008423</v>
      </c>
      <c r="D19" s="14">
        <v>15.511046928144257</v>
      </c>
      <c r="E19" s="14">
        <v>10.482547430756259</v>
      </c>
      <c r="F19" s="14">
        <v>21.308576545292752</v>
      </c>
    </row>
    <row r="20" spans="1:6">
      <c r="A20" s="5">
        <v>2005</v>
      </c>
      <c r="B20" s="14">
        <v>30.235027508559153</v>
      </c>
      <c r="C20" s="14">
        <v>21.550095147756846</v>
      </c>
      <c r="D20" s="14">
        <v>15.551531229956986</v>
      </c>
      <c r="E20" s="14">
        <v>10.836840124597179</v>
      </c>
      <c r="F20" s="14">
        <v>21.826505989129842</v>
      </c>
    </row>
    <row r="21" spans="1:6">
      <c r="A21" s="5">
        <v>2006</v>
      </c>
      <c r="B21" s="14">
        <v>31.408917177005787</v>
      </c>
      <c r="C21" s="14">
        <v>21.665791035291758</v>
      </c>
      <c r="D21" s="14">
        <v>15.453480536679804</v>
      </c>
      <c r="E21" s="14">
        <v>9.9002965777602157</v>
      </c>
      <c r="F21" s="14">
        <v>21.571514673262428</v>
      </c>
    </row>
    <row r="22" spans="1:6">
      <c r="A22" s="5">
        <v>2007</v>
      </c>
      <c r="B22" s="14">
        <v>33.291453602755432</v>
      </c>
      <c r="C22" s="14">
        <v>22.460566015493637</v>
      </c>
      <c r="D22" s="14">
        <v>15.697446650664817</v>
      </c>
      <c r="E22" s="14">
        <v>9.5637574779615804</v>
      </c>
      <c r="F22" s="14">
        <v>18.986776253124532</v>
      </c>
    </row>
    <row r="23" spans="1:6">
      <c r="A23" s="5">
        <v>2008</v>
      </c>
      <c r="B23" s="14">
        <v>34.495917190776147</v>
      </c>
      <c r="C23" s="14">
        <v>22.557918599499413</v>
      </c>
      <c r="D23" s="14">
        <v>14.867961867930832</v>
      </c>
      <c r="E23" s="14">
        <v>9.2193789747832202</v>
      </c>
      <c r="F23" s="14">
        <v>18.85882336701038</v>
      </c>
    </row>
    <row r="24" spans="1:6">
      <c r="A24" s="5">
        <v>2009</v>
      </c>
      <c r="B24" s="14">
        <v>37.517007392420275</v>
      </c>
      <c r="C24" s="14">
        <v>20.808369268649081</v>
      </c>
      <c r="D24" s="14">
        <v>14.878876742229256</v>
      </c>
      <c r="E24" s="14">
        <v>8.9474968577058931</v>
      </c>
      <c r="F24" s="14">
        <v>17.848249738995488</v>
      </c>
    </row>
    <row r="25" spans="1:6">
      <c r="A25" s="5">
        <v>2010</v>
      </c>
      <c r="B25" s="14">
        <v>37.932230244263096</v>
      </c>
      <c r="C25" s="14">
        <v>22.463934924006278</v>
      </c>
      <c r="D25" s="14">
        <v>13.711753615297415</v>
      </c>
      <c r="E25" s="14">
        <v>8.541554584014035</v>
      </c>
      <c r="F25" s="14">
        <v>17.350526632419175</v>
      </c>
    </row>
    <row r="26" spans="1:6">
      <c r="A26" s="5">
        <v>2011</v>
      </c>
      <c r="B26" s="14">
        <v>37.463313085330505</v>
      </c>
      <c r="C26" s="14">
        <v>25.036212725063866</v>
      </c>
      <c r="D26" s="14">
        <v>13.017747469333468</v>
      </c>
      <c r="E26" s="14">
        <v>7.983479542861792</v>
      </c>
      <c r="F26" s="14">
        <v>16.499247177410364</v>
      </c>
    </row>
    <row r="27" spans="1:6">
      <c r="A27" s="5">
        <v>2012</v>
      </c>
      <c r="B27" s="14">
        <v>37.869671450442837</v>
      </c>
      <c r="C27" s="14">
        <v>23.516829057459244</v>
      </c>
      <c r="D27" s="14">
        <v>13.13431869054982</v>
      </c>
      <c r="E27" s="14">
        <v>7.7159126122696957</v>
      </c>
      <c r="F27" s="14">
        <v>17.76326818927841</v>
      </c>
    </row>
    <row r="28" spans="1:6">
      <c r="A28" s="5">
        <v>2013</v>
      </c>
      <c r="B28" s="14">
        <v>38.202811782957284</v>
      </c>
      <c r="C28" s="14">
        <v>21.226393475742331</v>
      </c>
      <c r="D28" s="14">
        <v>13.174785175832518</v>
      </c>
      <c r="E28" s="14">
        <v>7.3987703143539658</v>
      </c>
      <c r="F28" s="14">
        <v>19.997239251113903</v>
      </c>
    </row>
    <row r="29" spans="1:6">
      <c r="A29" s="5">
        <v>2014</v>
      </c>
      <c r="B29" s="14">
        <v>36.221970653978261</v>
      </c>
      <c r="C29" s="14">
        <v>22.831138174312809</v>
      </c>
      <c r="D29" s="14">
        <v>13.325097696531984</v>
      </c>
      <c r="E29" s="14">
        <v>6.7964699786360105</v>
      </c>
      <c r="F29" s="14">
        <v>20.825323496540936</v>
      </c>
    </row>
    <row r="30" spans="1:6">
      <c r="A30" s="5">
        <v>2015</v>
      </c>
      <c r="B30" s="14">
        <v>36.096714522365779</v>
      </c>
      <c r="C30" s="14">
        <v>22.117980639885275</v>
      </c>
      <c r="D30" s="14">
        <v>14.097290599189883</v>
      </c>
      <c r="E30" s="14">
        <v>7.0565955909097378</v>
      </c>
      <c r="F30" s="14">
        <v>20.63141864764933</v>
      </c>
    </row>
    <row r="31" spans="1:6">
      <c r="A31" s="5">
        <v>2016</v>
      </c>
      <c r="B31" s="14">
        <v>35.617092269508021</v>
      </c>
      <c r="C31" s="14">
        <v>22.282040781687741</v>
      </c>
      <c r="D31" s="14">
        <v>14.545043889831536</v>
      </c>
      <c r="E31" s="14">
        <v>7.3253978243211666</v>
      </c>
      <c r="F31" s="14">
        <v>20.230425234651534</v>
      </c>
    </row>
    <row r="32" spans="1:6">
      <c r="A32" s="5">
        <v>2017</v>
      </c>
      <c r="B32" s="14">
        <v>35.814544919849887</v>
      </c>
      <c r="C32" s="14">
        <v>22.062352792263475</v>
      </c>
      <c r="D32" s="14">
        <v>13.940500285181589</v>
      </c>
      <c r="E32" s="14">
        <v>7.2705339504861968</v>
      </c>
      <c r="F32" s="14">
        <v>20.91206805221886</v>
      </c>
    </row>
    <row r="33" spans="1:6">
      <c r="A33" s="5">
        <v>2018</v>
      </c>
      <c r="B33" s="14">
        <v>37.45370902310065</v>
      </c>
      <c r="C33" s="14">
        <v>21.285889309258401</v>
      </c>
      <c r="D33" s="14">
        <v>13.388504789564953</v>
      </c>
      <c r="E33" s="14">
        <v>7.0477996250713524</v>
      </c>
      <c r="F33" s="14">
        <v>20.824097253004638</v>
      </c>
    </row>
    <row r="34" spans="1:6">
      <c r="A34" s="5">
        <v>2019</v>
      </c>
      <c r="B34" s="14">
        <v>35.838873544994179</v>
      </c>
      <c r="C34" s="14">
        <v>21.318320543475895</v>
      </c>
      <c r="D34" s="14">
        <v>14.177761495332014</v>
      </c>
      <c r="E34" s="14">
        <v>6.782027442304928</v>
      </c>
      <c r="F34" s="14">
        <v>21.883016973892975</v>
      </c>
    </row>
    <row r="35" spans="1:6">
      <c r="A35" s="5">
        <v>2020</v>
      </c>
      <c r="B35" s="14">
        <v>33.838341521319308</v>
      </c>
      <c r="C35" s="14">
        <v>22.236448302032802</v>
      </c>
      <c r="D35" s="14">
        <v>14.451256570030971</v>
      </c>
      <c r="E35" s="14">
        <v>6.9497459219958815</v>
      </c>
      <c r="F35" s="14">
        <v>22.52420768462104</v>
      </c>
    </row>
    <row r="36" spans="1:6">
      <c r="A36" s="5">
        <v>2021</v>
      </c>
      <c r="B36" s="14">
        <v>34.201317872180766</v>
      </c>
      <c r="C36" s="14">
        <v>22.413320192264287</v>
      </c>
      <c r="D36" s="14">
        <v>14.217709524567432</v>
      </c>
      <c r="E36" s="14">
        <v>6.6853939889272072</v>
      </c>
      <c r="F36" s="14">
        <v>22.482258422060323</v>
      </c>
    </row>
    <row r="37" spans="1:6">
      <c r="A37" s="5">
        <v>2022</v>
      </c>
      <c r="B37" s="14">
        <v>34.767093599673693</v>
      </c>
      <c r="C37" s="14">
        <v>21.119965200468936</v>
      </c>
      <c r="D37" s="14">
        <v>14.415903069975517</v>
      </c>
      <c r="E37" s="14">
        <v>6.9777137856965421</v>
      </c>
      <c r="F37" s="14">
        <v>22.71932434418531</v>
      </c>
    </row>
    <row r="38" spans="1:6">
      <c r="A38" s="5">
        <v>2023</v>
      </c>
      <c r="B38" s="14">
        <v>33.987903377853982</v>
      </c>
      <c r="C38" s="14">
        <v>22.04967789792655</v>
      </c>
      <c r="D38" s="14">
        <v>14.649720865036404</v>
      </c>
      <c r="E38" s="14">
        <v>6.7169519025645164</v>
      </c>
      <c r="F38" s="14">
        <v>22.595745956618551</v>
      </c>
    </row>
    <row r="40" spans="1:6">
      <c r="A40" s="9" t="s">
        <v>52</v>
      </c>
    </row>
    <row r="41" spans="1:6">
      <c r="A41" s="9" t="s">
        <v>54</v>
      </c>
    </row>
    <row r="42" spans="1:6">
      <c r="A42" s="9" t="s">
        <v>55</v>
      </c>
    </row>
    <row r="43" spans="1:6">
      <c r="A43" s="9" t="s">
        <v>56</v>
      </c>
    </row>
    <row r="44" spans="1:6">
      <c r="A44" s="9" t="s">
        <v>57</v>
      </c>
    </row>
    <row r="45" spans="1:6">
      <c r="A45" s="9" t="s">
        <v>53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1686-D491-464D-B4F8-B97BC7FE8195}">
  <dimension ref="A1:H9"/>
  <sheetViews>
    <sheetView zoomScaleNormal="100" workbookViewId="0"/>
  </sheetViews>
  <sheetFormatPr defaultColWidth="9.6328125" defaultRowHeight="16"/>
  <cols>
    <col min="1" max="16384" width="9.6328125" style="1"/>
  </cols>
  <sheetData>
    <row r="1" spans="1:8">
      <c r="A1" s="1" t="s">
        <v>60</v>
      </c>
    </row>
    <row r="3" spans="1:8">
      <c r="H3" s="2" t="s">
        <v>51</v>
      </c>
    </row>
    <row r="4" spans="1:8" ht="48">
      <c r="A4" s="8" t="s">
        <v>43</v>
      </c>
      <c r="B4" s="10" t="s">
        <v>30</v>
      </c>
      <c r="C4" s="10" t="s">
        <v>62</v>
      </c>
      <c r="D4" s="10" t="s">
        <v>31</v>
      </c>
      <c r="E4" s="10" t="s">
        <v>32</v>
      </c>
      <c r="F4" s="10" t="s">
        <v>33</v>
      </c>
      <c r="G4" s="10" t="s">
        <v>61</v>
      </c>
      <c r="H4" s="10" t="s">
        <v>29</v>
      </c>
    </row>
    <row r="5" spans="1:8">
      <c r="A5" s="8">
        <v>1998</v>
      </c>
      <c r="B5" s="6">
        <v>42.062332338000601</v>
      </c>
      <c r="C5" s="6">
        <v>15.598492147143638</v>
      </c>
      <c r="D5" s="6">
        <v>13.442143494442483</v>
      </c>
      <c r="E5" s="6">
        <v>0.77617752299230436</v>
      </c>
      <c r="F5" s="6">
        <v>3.7921106913840439</v>
      </c>
      <c r="G5" s="6">
        <v>3.3888714066707037</v>
      </c>
      <c r="H5" s="6">
        <v>20.93987239936623</v>
      </c>
    </row>
    <row r="6" spans="1:8">
      <c r="A6" s="8">
        <v>2023</v>
      </c>
      <c r="B6" s="6">
        <v>50.935256410996566</v>
      </c>
      <c r="C6" s="6">
        <v>10.481480045180552</v>
      </c>
      <c r="D6" s="6">
        <v>16.928618150035838</v>
      </c>
      <c r="E6" s="6">
        <v>2.5641269442612735</v>
      </c>
      <c r="F6" s="6">
        <v>1.8678573002770926</v>
      </c>
      <c r="G6" s="6">
        <v>1.4025025881149318</v>
      </c>
      <c r="H6" s="6">
        <v>15.820158561133757</v>
      </c>
    </row>
    <row r="8" spans="1:8">
      <c r="A8" s="1" t="s">
        <v>59</v>
      </c>
    </row>
    <row r="9" spans="1:8">
      <c r="A9" s="1" t="s">
        <v>53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49D2-F80B-4E77-BF51-FB4E3BE99201}">
  <dimension ref="A1:G26"/>
  <sheetViews>
    <sheetView zoomScaleNormal="100" workbookViewId="0"/>
  </sheetViews>
  <sheetFormatPr defaultColWidth="10.6328125" defaultRowHeight="16"/>
  <cols>
    <col min="1" max="16384" width="10.6328125" style="9"/>
  </cols>
  <sheetData>
    <row r="1" spans="1:7">
      <c r="A1" s="9" t="s">
        <v>63</v>
      </c>
    </row>
    <row r="3" spans="1:7">
      <c r="G3" s="2" t="s">
        <v>64</v>
      </c>
    </row>
    <row r="4" spans="1:7">
      <c r="A4" s="8" t="s">
        <v>43</v>
      </c>
      <c r="B4" s="8" t="s">
        <v>10</v>
      </c>
      <c r="C4" s="8" t="s">
        <v>34</v>
      </c>
      <c r="D4" s="8" t="s">
        <v>35</v>
      </c>
      <c r="E4" s="8" t="s">
        <v>36</v>
      </c>
      <c r="F4" s="8" t="s">
        <v>37</v>
      </c>
      <c r="G4" s="8" t="s">
        <v>38</v>
      </c>
    </row>
    <row r="5" spans="1:7">
      <c r="A5" s="8">
        <v>2018</v>
      </c>
      <c r="B5" s="6">
        <v>742.3</v>
      </c>
      <c r="C5" s="6"/>
      <c r="D5" s="6"/>
      <c r="E5" s="6"/>
      <c r="F5" s="6"/>
      <c r="G5" s="6"/>
    </row>
    <row r="6" spans="1:7">
      <c r="A6" s="8">
        <v>2019</v>
      </c>
      <c r="B6" s="6">
        <v>720.7</v>
      </c>
      <c r="C6" s="6"/>
      <c r="D6" s="6"/>
      <c r="E6" s="6"/>
      <c r="F6" s="6"/>
      <c r="G6" s="6"/>
    </row>
    <row r="7" spans="1:7">
      <c r="A7" s="8">
        <v>2020</v>
      </c>
      <c r="B7" s="6">
        <v>674.1</v>
      </c>
      <c r="C7" s="6"/>
      <c r="D7" s="6"/>
      <c r="E7" s="6"/>
      <c r="F7" s="6"/>
      <c r="G7" s="6"/>
    </row>
    <row r="8" spans="1:7">
      <c r="A8" s="8">
        <v>2021</v>
      </c>
      <c r="B8" s="6">
        <v>708</v>
      </c>
      <c r="C8" s="6"/>
      <c r="D8" s="6"/>
      <c r="E8" s="6"/>
      <c r="F8" s="6"/>
      <c r="G8" s="6"/>
    </row>
    <row r="9" spans="1:7">
      <c r="A9" s="8">
        <v>2022</v>
      </c>
      <c r="B9" s="6">
        <v>686.5</v>
      </c>
      <c r="C9" s="6"/>
      <c r="D9" s="6"/>
      <c r="E9" s="6"/>
      <c r="F9" s="6"/>
      <c r="G9" s="6"/>
    </row>
    <row r="10" spans="1:7">
      <c r="A10" s="8">
        <v>2023</v>
      </c>
      <c r="B10" s="6">
        <v>666.3</v>
      </c>
      <c r="C10" s="6"/>
      <c r="D10" s="6"/>
      <c r="E10" s="6"/>
      <c r="F10" s="6"/>
      <c r="G10" s="6"/>
    </row>
    <row r="11" spans="1:7">
      <c r="A11" s="8">
        <v>2024</v>
      </c>
      <c r="B11" s="6">
        <v>651.4</v>
      </c>
      <c r="C11" s="6">
        <v>651.4</v>
      </c>
      <c r="D11" s="6"/>
      <c r="E11" s="6"/>
      <c r="F11" s="6"/>
      <c r="G11" s="6"/>
    </row>
    <row r="12" spans="1:7">
      <c r="A12" s="8">
        <v>2025</v>
      </c>
      <c r="B12" s="6"/>
      <c r="C12" s="6"/>
      <c r="D12" s="6"/>
      <c r="E12" s="6"/>
      <c r="F12" s="6"/>
      <c r="G12" s="6"/>
    </row>
    <row r="13" spans="1:7">
      <c r="A13" s="8">
        <v>2026</v>
      </c>
      <c r="B13" s="6"/>
      <c r="C13" s="6"/>
      <c r="D13" s="6"/>
      <c r="E13" s="6"/>
      <c r="F13" s="6"/>
      <c r="G13" s="6"/>
    </row>
    <row r="14" spans="1:7">
      <c r="A14" s="8">
        <v>2027</v>
      </c>
      <c r="B14" s="6"/>
      <c r="C14" s="6"/>
      <c r="D14" s="6"/>
      <c r="E14" s="6"/>
      <c r="F14" s="6"/>
      <c r="G14" s="6"/>
    </row>
    <row r="15" spans="1:7">
      <c r="A15" s="8">
        <v>2028</v>
      </c>
      <c r="B15" s="6"/>
      <c r="C15" s="6"/>
      <c r="D15" s="6"/>
      <c r="E15" s="6"/>
      <c r="F15" s="6"/>
      <c r="G15" s="6"/>
    </row>
    <row r="16" spans="1:7">
      <c r="A16" s="8">
        <v>2029</v>
      </c>
      <c r="B16" s="6"/>
      <c r="C16" s="6"/>
      <c r="D16" s="6"/>
      <c r="E16" s="6"/>
      <c r="F16" s="6"/>
      <c r="G16" s="6"/>
    </row>
    <row r="17" spans="1:7">
      <c r="A17" s="8">
        <v>2030</v>
      </c>
      <c r="B17" s="6"/>
      <c r="C17" s="6">
        <v>470.3</v>
      </c>
      <c r="D17" s="6">
        <v>470.3</v>
      </c>
      <c r="E17" s="6">
        <v>470.3</v>
      </c>
      <c r="F17" s="6">
        <v>470.3</v>
      </c>
      <c r="G17" s="6">
        <v>470.3</v>
      </c>
    </row>
    <row r="18" spans="1:7">
      <c r="A18" s="8">
        <v>2031</v>
      </c>
      <c r="B18" s="6"/>
      <c r="C18" s="6"/>
      <c r="D18" s="6"/>
      <c r="E18" s="6"/>
      <c r="F18" s="6"/>
      <c r="G18" s="6"/>
    </row>
    <row r="19" spans="1:7">
      <c r="A19" s="8">
        <v>2032</v>
      </c>
      <c r="B19" s="6"/>
      <c r="C19" s="6"/>
      <c r="D19" s="6"/>
      <c r="E19" s="6"/>
      <c r="F19" s="6"/>
      <c r="G19" s="6"/>
    </row>
    <row r="20" spans="1:7">
      <c r="A20" s="8">
        <v>2033</v>
      </c>
      <c r="B20" s="6"/>
      <c r="C20" s="6"/>
      <c r="D20" s="6"/>
      <c r="E20" s="6"/>
      <c r="F20" s="6"/>
      <c r="G20" s="6"/>
    </row>
    <row r="21" spans="1:7">
      <c r="A21" s="8">
        <v>2034</v>
      </c>
      <c r="B21" s="6"/>
      <c r="C21" s="6"/>
      <c r="D21" s="6"/>
      <c r="E21" s="6"/>
      <c r="F21" s="6"/>
      <c r="G21" s="6"/>
    </row>
    <row r="22" spans="1:7">
      <c r="A22" s="8">
        <v>2035</v>
      </c>
      <c r="B22" s="6"/>
      <c r="C22" s="6"/>
      <c r="D22" s="6">
        <v>386.3</v>
      </c>
      <c r="E22" s="6">
        <v>348.9</v>
      </c>
      <c r="F22" s="6">
        <v>286.8</v>
      </c>
      <c r="G22" s="6">
        <v>259.10000000000002</v>
      </c>
    </row>
    <row r="24" spans="1:7">
      <c r="A24" s="9" t="s">
        <v>65</v>
      </c>
    </row>
    <row r="25" spans="1:7">
      <c r="A25" s="9" t="s">
        <v>67</v>
      </c>
    </row>
    <row r="26" spans="1:7">
      <c r="A26" s="9" t="s">
        <v>66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9C052-39CE-47ED-874F-2DBBA894239D}">
  <dimension ref="A1:G13"/>
  <sheetViews>
    <sheetView zoomScaleNormal="100" workbookViewId="0"/>
  </sheetViews>
  <sheetFormatPr defaultColWidth="10.6328125" defaultRowHeight="16"/>
  <cols>
    <col min="1" max="16384" width="10.6328125" style="9"/>
  </cols>
  <sheetData>
    <row r="1" spans="1:7">
      <c r="A1" s="9" t="s">
        <v>71</v>
      </c>
    </row>
    <row r="3" spans="1:7">
      <c r="F3" s="2" t="s">
        <v>51</v>
      </c>
    </row>
    <row r="4" spans="1:7">
      <c r="A4" s="13" t="s">
        <v>43</v>
      </c>
      <c r="B4" s="13" t="s">
        <v>11</v>
      </c>
      <c r="C4" s="13" t="s">
        <v>12</v>
      </c>
      <c r="D4" s="13" t="s">
        <v>13</v>
      </c>
      <c r="E4" s="13" t="s">
        <v>14</v>
      </c>
      <c r="F4" s="13" t="s">
        <v>8</v>
      </c>
    </row>
    <row r="5" spans="1:7">
      <c r="A5" s="13">
        <v>2017</v>
      </c>
      <c r="B5" s="15">
        <v>26.814577683996017</v>
      </c>
      <c r="C5" s="15">
        <v>43.141034558136759</v>
      </c>
      <c r="D5" s="15">
        <v>22.769998428272309</v>
      </c>
      <c r="E5" s="15">
        <v>5.5673485315185598</v>
      </c>
      <c r="F5" s="15">
        <v>1.7070407980763498</v>
      </c>
      <c r="G5" s="14"/>
    </row>
    <row r="6" spans="1:7">
      <c r="A6" s="13">
        <v>2019</v>
      </c>
      <c r="B6" s="15">
        <v>25.914677465188973</v>
      </c>
      <c r="C6" s="15">
        <v>40.385052571753342</v>
      </c>
      <c r="D6" s="15">
        <v>25.638498152884342</v>
      </c>
      <c r="E6" s="15">
        <v>6.4634839443023591</v>
      </c>
      <c r="F6" s="15">
        <v>1.598287865870986</v>
      </c>
      <c r="G6" s="14"/>
    </row>
    <row r="7" spans="1:7">
      <c r="A7" s="13">
        <v>2021</v>
      </c>
      <c r="B7" s="15">
        <v>27.394683508752465</v>
      </c>
      <c r="C7" s="15">
        <v>34.320893051252668</v>
      </c>
      <c r="D7" s="15">
        <v>29.191292091489558</v>
      </c>
      <c r="E7" s="15">
        <v>7.4714506881827427</v>
      </c>
      <c r="F7" s="15">
        <v>1.6216806603225677</v>
      </c>
      <c r="G7" s="14"/>
    </row>
    <row r="8" spans="1:7">
      <c r="A8" s="13">
        <v>2023</v>
      </c>
      <c r="B8" s="15">
        <v>30.693805087008354</v>
      </c>
      <c r="C8" s="15">
        <v>31.447656394811979</v>
      </c>
      <c r="D8" s="15">
        <v>26.825916976024029</v>
      </c>
      <c r="E8" s="15">
        <v>9.6186189199162655</v>
      </c>
      <c r="F8" s="15">
        <v>1.4140026222393787</v>
      </c>
      <c r="G8" s="14"/>
    </row>
    <row r="9" spans="1:7">
      <c r="A9" s="13">
        <v>2024</v>
      </c>
      <c r="B9" s="15">
        <v>31.693106412701823</v>
      </c>
      <c r="C9" s="15">
        <v>28.067323966364881</v>
      </c>
      <c r="D9" s="15">
        <v>28.074879778631491</v>
      </c>
      <c r="E9" s="15">
        <v>10.604162748838084</v>
      </c>
      <c r="F9" s="15">
        <v>1.5605270934637185</v>
      </c>
      <c r="G9" s="14"/>
    </row>
    <row r="11" spans="1:7">
      <c r="A11" s="9" t="s">
        <v>68</v>
      </c>
    </row>
    <row r="12" spans="1:7">
      <c r="A12" s="9" t="s">
        <v>70</v>
      </c>
    </row>
    <row r="13" spans="1:7">
      <c r="A13" s="9" t="s">
        <v>69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9691D-01F7-4D91-BE18-0246A584FD0D}">
  <dimension ref="A1:F14"/>
  <sheetViews>
    <sheetView zoomScaleNormal="100" workbookViewId="0"/>
  </sheetViews>
  <sheetFormatPr defaultColWidth="10.6328125" defaultRowHeight="16"/>
  <cols>
    <col min="1" max="16384" width="10.6328125" style="9"/>
  </cols>
  <sheetData>
    <row r="1" spans="1:6">
      <c r="A1" s="9" t="s">
        <v>72</v>
      </c>
    </row>
    <row r="3" spans="1:6">
      <c r="F3" s="2" t="s">
        <v>51</v>
      </c>
    </row>
    <row r="4" spans="1:6">
      <c r="A4" s="13" t="s">
        <v>43</v>
      </c>
      <c r="B4" s="13" t="s">
        <v>15</v>
      </c>
      <c r="C4" s="13" t="s">
        <v>19</v>
      </c>
      <c r="D4" s="13" t="s">
        <v>17</v>
      </c>
      <c r="E4" s="13" t="s">
        <v>16</v>
      </c>
      <c r="F4" s="13" t="s">
        <v>18</v>
      </c>
    </row>
    <row r="5" spans="1:6">
      <c r="A5" s="13">
        <v>2018</v>
      </c>
      <c r="B5" s="16">
        <v>40.704510646707178</v>
      </c>
      <c r="C5" s="16">
        <v>28.180425868287141</v>
      </c>
      <c r="D5" s="16">
        <v>16.595029889827579</v>
      </c>
      <c r="E5" s="16">
        <v>12.123906921594783</v>
      </c>
      <c r="F5" s="16">
        <v>2.3961266735833209</v>
      </c>
    </row>
    <row r="6" spans="1:6">
      <c r="A6" s="13">
        <v>2019</v>
      </c>
      <c r="B6" s="16">
        <v>48.340979845977387</v>
      </c>
      <c r="C6" s="16">
        <v>27.35949533016549</v>
      </c>
      <c r="D6" s="16">
        <v>11.424709159429788</v>
      </c>
      <c r="E6" s="16">
        <v>10.933147632311977</v>
      </c>
      <c r="F6" s="16">
        <v>1.941668032115353</v>
      </c>
    </row>
    <row r="7" spans="1:6">
      <c r="A7" s="13">
        <v>2020</v>
      </c>
      <c r="B7" s="16">
        <v>54.16394939350463</v>
      </c>
      <c r="C7" s="16">
        <v>21.468631798617452</v>
      </c>
      <c r="D7" s="16">
        <v>12.641841659058301</v>
      </c>
      <c r="E7" s="16">
        <v>10.235424546758837</v>
      </c>
      <c r="F7" s="16">
        <v>1.49015260206078</v>
      </c>
    </row>
    <row r="8" spans="1:6">
      <c r="A8" s="13">
        <v>2021</v>
      </c>
      <c r="B8" s="16">
        <v>60.016501650165019</v>
      </c>
      <c r="C8" s="16">
        <v>21.611661166116612</v>
      </c>
      <c r="D8" s="16">
        <v>8.4020902090209013</v>
      </c>
      <c r="E8" s="16">
        <v>8.7183718371837173</v>
      </c>
      <c r="F8" s="16">
        <v>1.2513751375137514</v>
      </c>
    </row>
    <row r="9" spans="1:6">
      <c r="A9" s="13">
        <v>2022</v>
      </c>
      <c r="B9" s="16">
        <v>58.784431659693169</v>
      </c>
      <c r="C9" s="16">
        <v>25.25496861924686</v>
      </c>
      <c r="D9" s="16">
        <v>7.716614365411437</v>
      </c>
      <c r="E9" s="16">
        <v>7.3199965132496523</v>
      </c>
      <c r="F9" s="16">
        <v>0.92398884239888424</v>
      </c>
    </row>
    <row r="10" spans="1:6">
      <c r="A10" s="13">
        <v>2023</v>
      </c>
      <c r="B10" s="16">
        <v>59.28624926620919</v>
      </c>
      <c r="C10" s="16">
        <v>25.45899880569219</v>
      </c>
      <c r="D10" s="16">
        <v>7.5221149369445959</v>
      </c>
      <c r="E10" s="16">
        <v>6.8460152628489297</v>
      </c>
      <c r="F10" s="16">
        <v>0.886621728305095</v>
      </c>
    </row>
    <row r="11" spans="1:6">
      <c r="A11" s="13">
        <v>2024</v>
      </c>
      <c r="B11" s="16">
        <v>61.400052534804303</v>
      </c>
      <c r="C11" s="16">
        <v>23.593755863259407</v>
      </c>
      <c r="D11" s="16">
        <v>8.0678449472775728</v>
      </c>
      <c r="E11" s="16">
        <v>6.337948891140381</v>
      </c>
      <c r="F11" s="16">
        <v>0.60039776351833096</v>
      </c>
    </row>
    <row r="13" spans="1:6">
      <c r="A13" s="9" t="s">
        <v>73</v>
      </c>
    </row>
    <row r="14" spans="1:6">
      <c r="A14" s="9" t="s">
        <v>69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E91E5-D984-4C11-88D4-B1D4488B5614}">
  <dimension ref="A1:C23"/>
  <sheetViews>
    <sheetView zoomScaleNormal="100" workbookViewId="0"/>
  </sheetViews>
  <sheetFormatPr defaultColWidth="16.6328125" defaultRowHeight="16"/>
  <cols>
    <col min="1" max="16384" width="16.6328125" style="9"/>
  </cols>
  <sheetData>
    <row r="1" spans="1:3">
      <c r="A1" s="9" t="s">
        <v>74</v>
      </c>
    </row>
    <row r="3" spans="1:3">
      <c r="C3" s="2" t="s">
        <v>51</v>
      </c>
    </row>
    <row r="4" spans="1:3">
      <c r="A4" s="13" t="s">
        <v>43</v>
      </c>
      <c r="B4" s="13" t="s">
        <v>39</v>
      </c>
      <c r="C4" s="13" t="s">
        <v>20</v>
      </c>
    </row>
    <row r="5" spans="1:3">
      <c r="A5" s="13">
        <v>1995</v>
      </c>
      <c r="B5" s="17">
        <v>97.7</v>
      </c>
      <c r="C5" s="17">
        <v>60.3</v>
      </c>
    </row>
    <row r="6" spans="1:3">
      <c r="A6" s="13">
        <v>2000</v>
      </c>
      <c r="B6" s="17">
        <v>97.8</v>
      </c>
      <c r="C6" s="17">
        <v>49.5</v>
      </c>
    </row>
    <row r="7" spans="1:3">
      <c r="A7" s="13">
        <v>2005</v>
      </c>
      <c r="B7" s="17">
        <v>97.5</v>
      </c>
      <c r="C7" s="17">
        <v>41.8</v>
      </c>
    </row>
    <row r="8" spans="1:3">
      <c r="A8" s="13">
        <v>2010</v>
      </c>
      <c r="B8" s="17">
        <v>97.5</v>
      </c>
      <c r="C8" s="17">
        <v>39.200000000000003</v>
      </c>
    </row>
    <row r="9" spans="1:3">
      <c r="A9" s="13">
        <v>2015</v>
      </c>
      <c r="B9" s="17">
        <v>96.8</v>
      </c>
      <c r="C9" s="17">
        <v>38.4</v>
      </c>
    </row>
    <row r="10" spans="1:3">
      <c r="A10" s="13">
        <v>2016</v>
      </c>
      <c r="B10" s="17">
        <v>96.6</v>
      </c>
      <c r="C10" s="17">
        <v>40.1</v>
      </c>
    </row>
    <row r="11" spans="1:3">
      <c r="A11" s="13">
        <v>2017</v>
      </c>
      <c r="B11" s="17">
        <v>96.1</v>
      </c>
      <c r="C11" s="17">
        <v>39.1</v>
      </c>
    </row>
    <row r="12" spans="1:3">
      <c r="A12" s="13">
        <v>2018</v>
      </c>
      <c r="B12" s="17">
        <v>95.8</v>
      </c>
      <c r="C12" s="17">
        <v>38</v>
      </c>
    </row>
    <row r="13" spans="1:3">
      <c r="A13" s="13">
        <v>2019</v>
      </c>
      <c r="B13" s="17">
        <v>95.7</v>
      </c>
      <c r="C13" s="17">
        <v>38.799999999999997</v>
      </c>
    </row>
    <row r="14" spans="1:3">
      <c r="A14" s="13">
        <v>2020</v>
      </c>
      <c r="B14" s="17">
        <v>95</v>
      </c>
      <c r="C14" s="17">
        <v>37.799999999999997</v>
      </c>
    </row>
    <row r="15" spans="1:3">
      <c r="A15" s="13">
        <v>2021</v>
      </c>
      <c r="B15" s="17">
        <v>94.8</v>
      </c>
      <c r="C15" s="17">
        <v>38.4</v>
      </c>
    </row>
    <row r="16" spans="1:3">
      <c r="A16" s="13">
        <v>2022</v>
      </c>
      <c r="B16" s="17">
        <v>94.4</v>
      </c>
      <c r="C16" s="17">
        <v>37.700000000000003</v>
      </c>
    </row>
    <row r="17" spans="1:3">
      <c r="A17" s="13">
        <v>2023</v>
      </c>
      <c r="B17" s="17">
        <v>93.7</v>
      </c>
      <c r="C17" s="17">
        <v>37.200000000000003</v>
      </c>
    </row>
    <row r="18" spans="1:3">
      <c r="A18" s="13">
        <v>2024</v>
      </c>
      <c r="B18" s="17">
        <v>93.4</v>
      </c>
      <c r="C18" s="17">
        <v>37.4</v>
      </c>
    </row>
    <row r="20" spans="1:3">
      <c r="A20" s="9" t="s">
        <v>75</v>
      </c>
    </row>
    <row r="21" spans="1:3">
      <c r="A21" s="9" t="s">
        <v>77</v>
      </c>
    </row>
    <row r="22" spans="1:3">
      <c r="A22" s="9" t="s">
        <v>78</v>
      </c>
    </row>
    <row r="23" spans="1:3">
      <c r="A23" s="9" t="s">
        <v>76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57ADF-D443-446C-93D7-006F8B8497C1}">
  <dimension ref="A1:D8"/>
  <sheetViews>
    <sheetView zoomScaleNormal="100" workbookViewId="0"/>
  </sheetViews>
  <sheetFormatPr defaultColWidth="12.6328125" defaultRowHeight="16"/>
  <cols>
    <col min="1" max="16384" width="12.6328125" style="9"/>
  </cols>
  <sheetData>
    <row r="1" spans="1:4">
      <c r="A1" s="9" t="s">
        <v>80</v>
      </c>
    </row>
    <row r="3" spans="1:4" ht="32">
      <c r="A3" s="13" t="s">
        <v>43</v>
      </c>
      <c r="B3" s="12" t="s">
        <v>40</v>
      </c>
      <c r="C3" s="12" t="s">
        <v>41</v>
      </c>
      <c r="D3" s="12" t="s">
        <v>42</v>
      </c>
    </row>
    <row r="4" spans="1:4">
      <c r="A4" s="13">
        <v>2021</v>
      </c>
      <c r="B4" s="18">
        <v>409.34230000000002</v>
      </c>
      <c r="C4" s="18">
        <v>316.6558</v>
      </c>
      <c r="D4" s="6">
        <f>C4/B4*100</f>
        <v>77.357214243433916</v>
      </c>
    </row>
    <row r="5" spans="1:4">
      <c r="A5" s="13">
        <v>2022</v>
      </c>
      <c r="B5" s="18">
        <v>458.76010000000002</v>
      </c>
      <c r="C5" s="18">
        <v>355.83879999999999</v>
      </c>
      <c r="D5" s="6">
        <f t="shared" ref="D5:D6" si="0">C5/B5*100</f>
        <v>77.565333166506846</v>
      </c>
    </row>
    <row r="6" spans="1:4">
      <c r="A6" s="13">
        <v>2023</v>
      </c>
      <c r="B6" s="18">
        <v>495.81110000000001</v>
      </c>
      <c r="C6" s="18">
        <v>386.16129999999998</v>
      </c>
      <c r="D6" s="6">
        <f t="shared" si="0"/>
        <v>77.884762967186489</v>
      </c>
    </row>
    <row r="8" spans="1:4">
      <c r="A8" s="9" t="s">
        <v>79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그림 7-1</vt:lpstr>
      <vt:lpstr>표 7-1</vt:lpstr>
      <vt:lpstr>그림 7-2</vt:lpstr>
      <vt:lpstr>그림 7-3</vt:lpstr>
      <vt:lpstr>그림 7-4</vt:lpstr>
      <vt:lpstr>그림 7-5</vt:lpstr>
      <vt:lpstr>그림 7-6</vt:lpstr>
      <vt:lpstr>그림 7-7</vt:lpstr>
      <vt:lpstr>그림 7-8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stats</cp:lastModifiedBy>
  <cp:lastPrinted>2026-05-21T05:08:24Z</cp:lastPrinted>
  <dcterms:created xsi:type="dcterms:W3CDTF">2024-03-28T06:00:22Z</dcterms:created>
  <dcterms:modified xsi:type="dcterms:W3CDTF">2026-05-21T05:31:01Z</dcterms:modified>
</cp:coreProperties>
</file>